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set Map - v2" sheetId="1" r:id="rId4"/>
    <sheet state="visible" name="Accelerator Incubator Programs" sheetId="2" r:id="rId5"/>
    <sheet state="visible" name="Ecosystem &amp; Business Networks" sheetId="3" r:id="rId6"/>
    <sheet state="visible" name="Educational &amp; Research" sheetId="4" r:id="rId7"/>
    <sheet state="visible" name="VC &amp; Funding" sheetId="5" r:id="rId8"/>
    <sheet state="visible" name="Innovation Hub Coworking Space" sheetId="6" r:id="rId9"/>
    <sheet state="visible" name="Entrepreneurship Small Business" sheetId="7" r:id="rId10"/>
    <sheet state="visible" name="Business Chamber Association" sheetId="8" r:id="rId11"/>
    <sheet state="visible" name="Economic Development" sheetId="9" r:id="rId12"/>
    <sheet state="visible" name="Government Program Biz Centre" sheetId="10" r:id="rId13"/>
    <sheet state="visible" name="Ideation &amp; Scaling" sheetId="11" r:id="rId14"/>
    <sheet state="visible" name="Backup" sheetId="12" r:id="rId15"/>
  </sheets>
  <definedNames>
    <definedName hidden="1" localSheetId="0" name="_xlnm._FilterDatabase">'Asset Map - v2'!$G$1:$G$207</definedName>
  </definedNames>
  <calcPr/>
</workbook>
</file>

<file path=xl/sharedStrings.xml><?xml version="1.0" encoding="utf-8"?>
<sst xmlns="http://schemas.openxmlformats.org/spreadsheetml/2006/main" count="3063" uniqueCount="1611">
  <si>
    <t>Organization Name</t>
  </si>
  <si>
    <t>City</t>
  </si>
  <si>
    <t>Address</t>
  </si>
  <si>
    <t>Latitude</t>
  </si>
  <si>
    <t>Longitude</t>
  </si>
  <si>
    <t>Province/State</t>
  </si>
  <si>
    <t>Sector/Type</t>
  </si>
  <si>
    <t>Services Offered</t>
  </si>
  <si>
    <t>Website</t>
  </si>
  <si>
    <t>Email Address</t>
  </si>
  <si>
    <t>Phone Number</t>
  </si>
  <si>
    <t>Contact Name</t>
  </si>
  <si>
    <t>Notes</t>
  </si>
  <si>
    <t>SCORE Ann Arbor</t>
  </si>
  <si>
    <t>Ann Arbor, MI</t>
  </si>
  <si>
    <t>1100 N Main St Ste 109, Ann Arbor, MI 48104</t>
  </si>
  <si>
    <t>MI</t>
  </si>
  <si>
    <t>Entrepreneurship/Small Business/Non-Profit Support</t>
  </si>
  <si>
    <t>Free mentorship, business planning, SBA partner</t>
  </si>
  <si>
    <t>https://www.score.org/annarborarea</t>
  </si>
  <si>
    <t>1-800-634-0245</t>
  </si>
  <si>
    <t>Experienced entrepreneurs, corporate managers, and executives with diverse backgrounds and specialties. All advice is completely confidential.</t>
  </si>
  <si>
    <t>University of Michigan's Innovation Partnerships</t>
  </si>
  <si>
    <t>1600 Huron Pkwy, Building 520, 2nd Floor, Ann Arbor, MI 48109-2590</t>
  </si>
  <si>
    <t>Educational Institution / Research and Commercialization</t>
  </si>
  <si>
    <t>Innovation, Research commercialization, startups, Commercialization, Licensing</t>
  </si>
  <si>
    <t>https://innovationpartnerships.umich.edu/</t>
  </si>
  <si>
    <r>
      <rPr>
        <rFont val="Calibri"/>
        <color rgb="FF000000"/>
        <sz val="11.0"/>
        <u/>
      </rPr>
      <t>kbsexton@umich.edu</t>
    </r>
  </si>
  <si>
    <t>734.763.0614</t>
  </si>
  <si>
    <t>Kelly Sexton</t>
  </si>
  <si>
    <t>Exists to serve great minds nad maximize the potential of their ideas, their discoveries, and their inventions.</t>
  </si>
  <si>
    <t>Arboretum Ventures</t>
  </si>
  <si>
    <t>201 S Main St., 3rd Floor, Ann Arbor, MI 48104</t>
  </si>
  <si>
    <t>VC and Funding</t>
  </si>
  <si>
    <t>Medtech, Diagnostics, Healthcare IT</t>
  </si>
  <si>
    <t>https://www.arboretumvc.com/</t>
  </si>
  <si>
    <r>
      <rPr>
        <rFont val="Calibri"/>
        <color rgb="FF000000"/>
        <sz val="11.0"/>
        <u/>
      </rPr>
      <t>info@arboretumvc.com</t>
    </r>
  </si>
  <si>
    <t>734.998.3689</t>
  </si>
  <si>
    <t>Seed, Series A, Series B. A healthcare venture capital firm rooted in the Midwest.</t>
  </si>
  <si>
    <t>University of Michigan's Life Sciences Institute</t>
  </si>
  <si>
    <t>210 Washtenaw Ave, Ann Arbor, MI 48109, United States</t>
  </si>
  <si>
    <t>Life sciences, Biotechnology, Health tech</t>
  </si>
  <si>
    <t>https://www.lsi.umich.edu/</t>
  </si>
  <si>
    <r>
      <rPr>
        <rFont val="Calibri"/>
        <color rgb="FF000000"/>
        <sz val="11.0"/>
        <u/>
      </rPr>
      <t>andyalt@umich.edu</t>
    </r>
  </si>
  <si>
    <t>734 763-2340</t>
  </si>
  <si>
    <t>Andrew Alt, Ph.D.</t>
  </si>
  <si>
    <t>Undergrads, graduate students, and postdocs Explores biological processes, structures, and functions at the finest scale to create impact on a global scale.</t>
  </si>
  <si>
    <t>University of Michigan's M-City</t>
  </si>
  <si>
    <t>2905 Baxter Road, Ann Arbor, MI 48109-2150</t>
  </si>
  <si>
    <t>Mobility, Autonomous vehicles, Smart cities. Industry, government, academica</t>
  </si>
  <si>
    <t>https://mcity.umich.edu/</t>
  </si>
  <si>
    <t>(734) 764-2886</t>
  </si>
  <si>
    <t>Hub for research, development, and deployment of mobility innovations.</t>
  </si>
  <si>
    <t>National Center for Manufacturing Sciences (NCMS)</t>
  </si>
  <si>
    <t>3025 Boardwalk, Ann Arbor, MI 48108</t>
  </si>
  <si>
    <t>Ecosystem &amp; Business Networks</t>
  </si>
  <si>
    <t>Advanced manufacturing, innovation, technology</t>
  </si>
  <si>
    <t>https://www.ncms.org/</t>
  </si>
  <si>
    <t>contact@ncms.org</t>
  </si>
  <si>
    <t>(800) 222-6267</t>
  </si>
  <si>
    <t>Brings together highly capable companies with providers and end users who need their innovations and solutions.</t>
  </si>
  <si>
    <t>MichiganRise</t>
  </si>
  <si>
    <t>325 E Grand River Ave, Suite 275, East Lansing, MI 48823</t>
  </si>
  <si>
    <t>Early stage venture capital funding, startups</t>
  </si>
  <si>
    <t>https://www.michiganrise.org/</t>
  </si>
  <si>
    <r>
      <rPr>
        <rFont val="Calibri"/>
        <color rgb="FF000000"/>
        <sz val="11.0"/>
        <u/>
      </rPr>
      <t>info@michiganrise.com</t>
    </r>
  </si>
  <si>
    <t>(517) 884-1564</t>
  </si>
  <si>
    <t>Supports Michigan-based technology startups.</t>
  </si>
  <si>
    <t>Ann Arbor SPARK</t>
  </si>
  <si>
    <t>330 E Liberty St, Ann Arbor, MI 48104</t>
  </si>
  <si>
    <t>Economic Development</t>
  </si>
  <si>
    <t>Startup support, tech incubation, business expansion</t>
  </si>
  <si>
    <t>https://annarborusa.org/</t>
  </si>
  <si>
    <t>phil@annarborusa.org</t>
  </si>
  <si>
    <t>Phil Santer</t>
  </si>
  <si>
    <t>Amherst Fund</t>
  </si>
  <si>
    <t>401 E Stadium Blvd, Ann Arbor, MI 48104</t>
  </si>
  <si>
    <t>Early stage VC investments, Later stage private quity investments</t>
  </si>
  <si>
    <t>http://www.amherstfund.com/</t>
  </si>
  <si>
    <r>
      <rPr>
        <rFont val="Calibri"/>
        <color rgb="FF000000"/>
        <sz val="11.0"/>
        <u/>
      </rPr>
      <t>info@amherstfund.com</t>
    </r>
  </si>
  <si>
    <t>Currently not considering new investments in privately held ventures.</t>
  </si>
  <si>
    <t>Therapeutic Systems Research Laboratories (TSRL), Inc.</t>
  </si>
  <si>
    <t>540 Avis Dr, Ann Arbor, MI 48108, United States</t>
  </si>
  <si>
    <t>Medical innovation, biotech</t>
  </si>
  <si>
    <t>https://www.tsrlinc.com/</t>
  </si>
  <si>
    <t>bd@tsrlinc.com</t>
  </si>
  <si>
    <t>Private, preclinical accelerator.</t>
  </si>
  <si>
    <t>Desai Accelerator</t>
  </si>
  <si>
    <t>701 Tappan Ave R2420, Ann Arbor, MI 48109</t>
  </si>
  <si>
    <t>Accelerator/Incubator Programs</t>
  </si>
  <si>
    <t>Startup acceleration, entrepreneurship, business mentorship, internships</t>
  </si>
  <si>
    <t>https://desaiaccelerator.umich.edu/</t>
  </si>
  <si>
    <t>Provides internships, programs, and resources.</t>
  </si>
  <si>
    <t>Merit Network</t>
  </si>
  <si>
    <t>880 Technology Drive, Suite B, Ann Arbor, MI 48108-8963</t>
  </si>
  <si>
    <t>Digital networking, security, support</t>
  </si>
  <si>
    <t>https://www.merit.edu/</t>
  </si>
  <si>
    <r>
      <rPr>
        <rFont val="Calibri"/>
        <color rgb="FF000000"/>
        <sz val="11.0"/>
        <u/>
      </rPr>
      <t>info@merit.edu</t>
    </r>
  </si>
  <si>
    <r>
      <rPr>
        <rFont val="Calibri"/>
        <color rgb="FF000000"/>
        <sz val="11.0"/>
        <u/>
      </rPr>
      <t>734.527.5700</t>
    </r>
  </si>
  <si>
    <t>Independent nonprofit corporation governed by Michigan's public universities.</t>
  </si>
  <si>
    <t>Birmingham Angels</t>
  </si>
  <si>
    <t>Birmingham, MI</t>
  </si>
  <si>
    <t>34300 Woodward Ave Suite #200, Birmingham, MI 48009</t>
  </si>
  <si>
    <t>Fund scalable tech companies in a variety of stages, industies, and market verticals.</t>
  </si>
  <si>
    <t>https://birminghamangels.org/</t>
  </si>
  <si>
    <t>dyork@citysidevc.com</t>
  </si>
  <si>
    <t>248.605.2029</t>
  </si>
  <si>
    <t>Autonomive, SaaS, Wearble technology, Medical tech &amp; telehealth, Agricutural &amp; food tech, Fintech, Technology in motion, Blockchain software, AI, Digital media &amp; intelligent commerce</t>
  </si>
  <si>
    <t>Michigan Venture Capital Association (MVCA)</t>
  </si>
  <si>
    <t>Bloomfield Fields, MI</t>
  </si>
  <si>
    <t>6632 Telegraph Rd #286, Bloomfield Hills, MI 48301</t>
  </si>
  <si>
    <t>Venture capital, investments</t>
  </si>
  <si>
    <t>https://michiganvca.org/</t>
  </si>
  <si>
    <r>
      <rPr>
        <rFont val="Calibri"/>
        <color rgb="FF000000"/>
        <sz val="11.0"/>
        <u/>
      </rPr>
      <t>info@michiganvca.org</t>
    </r>
  </si>
  <si>
    <t>Advocates for policies, connects members to entrepreneurial community</t>
  </si>
  <si>
    <t>PROTO Accelerator</t>
  </si>
  <si>
    <t>Lansing, MI</t>
  </si>
  <si>
    <t>1000 S. Washington, Ste 201, Lansing, MI 48910</t>
  </si>
  <si>
    <t>Startups, tech acceleration</t>
  </si>
  <si>
    <t>https://www.protoaccelerator.com/</t>
  </si>
  <si>
    <t>517.643.1564</t>
  </si>
  <si>
    <t>Anum Mughal</t>
  </si>
  <si>
    <t>Provides tech startups with capital, expertise, and accountability.</t>
  </si>
  <si>
    <t>Detroit Regional Partnership</t>
  </si>
  <si>
    <t>Detroit, MI</t>
  </si>
  <si>
    <t>1001 Woodward Ave Suite 800, Detroit, MI 48226</t>
  </si>
  <si>
    <t>Economic development, business attraction, project management</t>
  </si>
  <si>
    <t>https://www.detroitregionalpartnership.com/</t>
  </si>
  <si>
    <t>kent.spencer@detroitregionalpartnership.com</t>
  </si>
  <si>
    <t>Kent Spencer</t>
  </si>
  <si>
    <t>Regional economic development</t>
  </si>
  <si>
    <t>LIFT Tech</t>
  </si>
  <si>
    <t>1400 Rosa Parks Boulevard, Detroit, MI 48216</t>
  </si>
  <si>
    <t>Manufacturing innovation, tech advancement, systems engineering, talent development</t>
  </si>
  <si>
    <t>https://lift.technology/</t>
  </si>
  <si>
    <r>
      <rPr>
        <rFont val="Calibri"/>
        <color rgb="FF000000"/>
        <sz val="11.0"/>
        <u/>
      </rPr>
      <t>communications@almmii.org</t>
    </r>
  </si>
  <si>
    <t>(313) 309-9003</t>
  </si>
  <si>
    <t>Membership based organization.</t>
  </si>
  <si>
    <t>TechStars Detroit</t>
  </si>
  <si>
    <t>1420 Washington Blvd, Detroit, MI 48226</t>
  </si>
  <si>
    <t>Startup acceleration, venture funding community partnerships, vetical network partnerships</t>
  </si>
  <si>
    <t>https://www.techstars.com/accelerators</t>
  </si>
  <si>
    <t xml:space="preserve">Global network, mentorship driven accelerator. </t>
  </si>
  <si>
    <t>Urban Tech Xchange (UTX)</t>
  </si>
  <si>
    <t>1520 Woodward Ave, Suite 300, Detroit, MI 48226</t>
  </si>
  <si>
    <t>Urban innovation, smart cities, sustainability, energy, community health, accessibility, user experience</t>
  </si>
  <si>
    <t>https://urbantechxchange.com/</t>
  </si>
  <si>
    <r>
      <rPr>
        <rFont val="Calibri"/>
        <color rgb="FF000000"/>
        <sz val="11.0"/>
        <u/>
      </rPr>
      <t>info@urbantechxchange.com</t>
    </r>
  </si>
  <si>
    <t>313.220.2456</t>
  </si>
  <si>
    <t>UTX is a Detroit-based lab for tech providers, developers, educators, and researchers committed to building equiatble and sustainable cities.</t>
  </si>
  <si>
    <t>Rockbridge Growth Equity</t>
  </si>
  <si>
    <t>1555 Broadway St 4th Floor, Detroit, MI 48226</t>
  </si>
  <si>
    <t>Tech, Growth-Stage</t>
  </si>
  <si>
    <t>https://www.rbequity.com/</t>
  </si>
  <si>
    <r>
      <rPr>
        <rFont val="Calibri"/>
        <color rgb="FF000000"/>
        <sz val="11.0"/>
        <u/>
      </rPr>
      <t>SukhbirSingh@rbequity.com</t>
    </r>
  </si>
  <si>
    <t>Sukhbir Singh, Director of Portfolio Resources Group</t>
  </si>
  <si>
    <t>Series B, Growth.</t>
  </si>
  <si>
    <t>Build Institute</t>
  </si>
  <si>
    <t>1620 Michigan Ave, Detroit, MI 48216</t>
  </si>
  <si>
    <t>Entrepreneur training, masterclasses, access to network</t>
  </si>
  <si>
    <t>https://www.buildinstitute.org/</t>
  </si>
  <si>
    <r>
      <rPr>
        <rFont val="Calibri"/>
        <color rgb="FF000000"/>
        <sz val="11.0"/>
        <u/>
      </rPr>
      <t>hello@buildinstitute.org</t>
    </r>
  </si>
  <si>
    <r>
      <rPr>
        <rFont val="Calibri"/>
        <color rgb="FF000000"/>
        <sz val="11.0"/>
        <u/>
      </rPr>
      <t>313.265.3590</t>
    </r>
  </si>
  <si>
    <t>Offers classes, networking events, mentorship, and connctions to resources.</t>
  </si>
  <si>
    <t>500 Startups Detroit</t>
  </si>
  <si>
    <t>1701 Trumbull Ave, Detroit, MI 48216</t>
  </si>
  <si>
    <t>Venture capital, startups, growth</t>
  </si>
  <si>
    <t>https://www.500.co/</t>
  </si>
  <si>
    <t>couldn't find online</t>
  </si>
  <si>
    <t>Focused on the U.S. anbd global markets.</t>
  </si>
  <si>
    <t>Detroit Smart Parking Lab</t>
  </si>
  <si>
    <t>1701 W. Lafayette Blvd, Detroit, MI 48216</t>
  </si>
  <si>
    <t>Smart parking technology, smart cities, urban transportation.</t>
  </si>
  <si>
    <t>https://www.detroitsmartparkinglab.org/</t>
  </si>
  <si>
    <t>Offers collaboration and a neutral platform to examine ways to improve customer experiences and the efficient movement of vehicles and goods in defined spaces.</t>
  </si>
  <si>
    <t>City of Detroit</t>
  </si>
  <si>
    <t>2 Woodward Ave, Detroit, MI 48226</t>
  </si>
  <si>
    <t>Economic development, tech innovation</t>
  </si>
  <si>
    <t>https://detroitmi.gov/</t>
  </si>
  <si>
    <t>Hub to learn about Detroit city services and resources.</t>
  </si>
  <si>
    <t>NewLab Detroit</t>
  </si>
  <si>
    <t>2050 15th Street, Suite 312, Detroit, MI 48216, USA</t>
  </si>
  <si>
    <t>Tech innovation, design, and engineering</t>
  </si>
  <si>
    <t>https://www.newlab.com/</t>
  </si>
  <si>
    <r>
      <rPr>
        <rFont val="Calibri"/>
        <color rgb="FF000000"/>
        <sz val="11.0"/>
        <u/>
      </rPr>
      <t>brandoncorts@gmail.com</t>
    </r>
  </si>
  <si>
    <t>Brandon Corts, Engineer, Entrepreneur and Platform Lead.</t>
  </si>
  <si>
    <t>Access to technical labs, prototyping, capability, and real-world testbeds; helps startups get to market faster.</t>
  </si>
  <si>
    <t>Global Detroit</t>
  </si>
  <si>
    <t>Immigrant integration, economic development</t>
  </si>
  <si>
    <t>https://www.globaldetroitmi.org/</t>
  </si>
  <si>
    <t>rena@globaldetroitmi.org</t>
  </si>
  <si>
    <t>Rena Dam, Global Talent Corporate Outreach Michigan Program Manager</t>
  </si>
  <si>
    <t>Creates strategies to strengthen the region through immigrant inclusion.</t>
  </si>
  <si>
    <t>University of Michigan Center for Innovation</t>
  </si>
  <si>
    <t>2121 Cass Ave, Detroit, MI 48201, United States</t>
  </si>
  <si>
    <t>Innovation, Research commercialization, Tech startups</t>
  </si>
  <si>
    <t>https://detroit.umich.edu/umci/</t>
  </si>
  <si>
    <t>Expected to open in Spring 2027</t>
  </si>
  <si>
    <t>Michigan Economic Development Corporation, Office of Future Mobility &amp; Electrification</t>
  </si>
  <si>
    <t>300 N Washington Sq, Lansing, MI 48913</t>
  </si>
  <si>
    <t>Mobility innovation, electric vehicles</t>
  </si>
  <si>
    <t>https://www.michiganbusiness.org/ofme/</t>
  </si>
  <si>
    <r>
      <rPr>
        <rFont val="Calibri"/>
        <color rgb="FF000000"/>
        <sz val="11.0"/>
        <u/>
      </rPr>
      <t>888.522.0103</t>
    </r>
  </si>
  <si>
    <t>Public and private partnerships to enhance Michigan's mobility ecosystem.</t>
  </si>
  <si>
    <t>New Economy Initiative (NEI)</t>
  </si>
  <si>
    <t>333 West Fort Street, Suite 2010, Detroit, MI 48226-3134</t>
  </si>
  <si>
    <t>Grants, resources</t>
  </si>
  <si>
    <t>https://neweconomyinitiative.org/</t>
  </si>
  <si>
    <t>(313) 961-6675</t>
  </si>
  <si>
    <t>Philanthropy-led entrepreneurial development strategy working to build a network of support for entrepreneurs and small businesses in southeast Michigan.</t>
  </si>
  <si>
    <t>Wayne State University Division of Research &amp; Innovation</t>
  </si>
  <si>
    <t>5057 Woodward Ave, Suite 6409, Detroit, MI 48202</t>
  </si>
  <si>
    <t>Higher education, Research, Innovation</t>
  </si>
  <si>
    <t>https://research.wayne.edu/key-research</t>
  </si>
  <si>
    <t>julie.oconnor@wayne.edu</t>
  </si>
  <si>
    <t>313-577-8845</t>
  </si>
  <si>
    <r>
      <rPr>
        <rFont val="Calibri"/>
        <color rgb="FF000000"/>
        <sz val="11.0"/>
        <u/>
      </rPr>
      <t>O'Connor, Julie</t>
    </r>
    <r>
      <rPr>
        <rFont val="Calibri"/>
        <color rgb="FF000000"/>
        <sz val="11.0"/>
      </rPr>
      <t>, Director, Research Communications</t>
    </r>
  </si>
  <si>
    <t>Various areas of research, including: big data, fundamental sciences, translational neurosciences.</t>
  </si>
  <si>
    <t>ID Ventures</t>
  </si>
  <si>
    <t>4219 Woodward Ave, Suite 300, Detroit, MI 48201</t>
  </si>
  <si>
    <t>Tech, Health, Mobility</t>
  </si>
  <si>
    <t>https://idventures.com/</t>
  </si>
  <si>
    <r>
      <rPr>
        <rFont val="Calibri"/>
        <color rgb="FF000000"/>
        <sz val="11.0"/>
        <u/>
      </rPr>
      <t>info@investdetroit.com</t>
    </r>
  </si>
  <si>
    <t>Seed, Series A; Supports companies with high-growth potential in post-idea stage, seeking funding in the pre-seed to Series A rounds.</t>
  </si>
  <si>
    <t>ProsperUs Detroit</t>
  </si>
  <si>
    <t>440 Burroughs St, Suite 360, Detroit, MI 48202</t>
  </si>
  <si>
    <t>Training, financial coaching, business services, lending</t>
  </si>
  <si>
    <t>https://prosperusdetroit.org/</t>
  </si>
  <si>
    <t>info@prosperusdetroit.org</t>
  </si>
  <si>
    <t>313-586-0655</t>
  </si>
  <si>
    <t>Supports entrepreneurs with opportunities and capital to build businesses, generational wealth, and vibrant neighborhoods.</t>
  </si>
  <si>
    <t>TechTown Detroit</t>
  </si>
  <si>
    <t>440 Burroughs St., Detroit, MI 48202</t>
  </si>
  <si>
    <t>Business incubator, tech startups</t>
  </si>
  <si>
    <t>https://www.techtowndetroit.org/</t>
  </si>
  <si>
    <t>jacobs@techtowndetroit.org</t>
  </si>
  <si>
    <t>Jacob Evan Smith, Director, Mobility and Health Innovation</t>
  </si>
  <si>
    <t>Offers programs and resources for small business owners, tech founders, and entrepreneurs.</t>
  </si>
  <si>
    <t>Ecotek Lab</t>
  </si>
  <si>
    <t>440 Burroughs St, Suite 518, Detroit, MI 48202</t>
  </si>
  <si>
    <t>Ideation and Scaling</t>
  </si>
  <si>
    <t>Clean technology, sustainable innovation</t>
  </si>
  <si>
    <t>https://ecotek-us.com/</t>
  </si>
  <si>
    <r>
      <rPr>
        <rFont val="Calibri"/>
        <color rgb="FF000000"/>
        <sz val="11.0"/>
        <u/>
      </rPr>
      <t>Ecoteklab@gmail.com</t>
    </r>
  </si>
  <si>
    <r>
      <rPr>
        <rFont val="Calibri"/>
        <color rgb="FF000000"/>
        <sz val="11.0"/>
        <u/>
      </rPr>
      <t>(313) 399-7893</t>
    </r>
  </si>
  <si>
    <t>Science research organization creating opportunities for academically gifted middle and high school students.</t>
  </si>
  <si>
    <t>Detroit Economic Growth Corp (DEGC)- Detroit Means Business</t>
  </si>
  <si>
    <t>500 Griswold St #2200, Detroit, MI 48226</t>
  </si>
  <si>
    <t>Economic development, business expansion, Small business funding, mentorship, access to City services</t>
  </si>
  <si>
    <t>https://www.degc.org/</t>
  </si>
  <si>
    <t>dwhite@degc.org</t>
  </si>
  <si>
    <t>DAVID WHITE, Vice President</t>
  </si>
  <si>
    <t>Secondary link: https://www.detroitmeansbusiness.org/</t>
  </si>
  <si>
    <t>Invest Detroit</t>
  </si>
  <si>
    <t>600 Renaissance Center, Suite 1710, Detroit, MI 48243</t>
  </si>
  <si>
    <t>Venture capital, urban redevelopment revitalization</t>
  </si>
  <si>
    <t>https://investdetroit.com/</t>
  </si>
  <si>
    <t>info@investdetroit.com</t>
  </si>
  <si>
    <t>313.259.6368</t>
  </si>
  <si>
    <t>Strengthening neighborhoods, increasing density, growing job opportunities, supporting inclusivity</t>
  </si>
  <si>
    <t>100K Ideas</t>
  </si>
  <si>
    <t>Flint, MI</t>
  </si>
  <si>
    <t>601 Saginaw St, Flint, MI 48502</t>
  </si>
  <si>
    <t>Innovation, prototyping, student ideas</t>
  </si>
  <si>
    <t>https://100kideas.org/</t>
  </si>
  <si>
    <r>
      <rPr>
        <rFont val="Calibri"/>
        <color rgb="FF000000"/>
        <sz val="11.0"/>
        <u/>
      </rPr>
      <t>hey@100kideas.org</t>
    </r>
  </si>
  <si>
    <t>​810-213-4720​</t>
  </si>
  <si>
    <t>Vet entrepeneurial ideas to help in business development to anyone, regardless of prior experience or background.</t>
  </si>
  <si>
    <t>Detroit Regional Chamber</t>
  </si>
  <si>
    <t>777 Woodward Ave, Suite 800, Detroit, MI 48226</t>
  </si>
  <si>
    <t>Business Chamber/Association</t>
  </si>
  <si>
    <t>Economic growth, advocacy, leadership, regional collaboration</t>
  </si>
  <si>
    <t>https://www.detroitchamber.com/</t>
  </si>
  <si>
    <t>lostrow@detroitchamber.com</t>
  </si>
  <si>
    <t>Lori Ostrow, Vice President, Member and Investor Relations</t>
  </si>
  <si>
    <t>Creates a business-friendly climate and drives economic growth.</t>
  </si>
  <si>
    <t>Innovate Michigan!</t>
  </si>
  <si>
    <t>Tech innovation, economic development</t>
  </si>
  <si>
    <t>https://michauto.org/innovate-michigan/</t>
  </si>
  <si>
    <t>Collaboration between Detroit Regional Chamber and University of Michigan to foster innovation, technological advancement, and economiv growth from ANn Arbor to Detroit.</t>
  </si>
  <si>
    <t>MichAuto</t>
  </si>
  <si>
    <t>Automotive, technology, mobility innovation</t>
  </si>
  <si>
    <t>https://www.michauto.org/</t>
  </si>
  <si>
    <t>Promotes, retains, and grows auto industry as Michigan's only automotive and mobility association.</t>
  </si>
  <si>
    <t>Fontinalis Partners</t>
  </si>
  <si>
    <t>One Woodward Ave, Suite 1600, Detroit, MI 48226</t>
  </si>
  <si>
    <t>Mobility, Transportation, Logistics</t>
  </si>
  <si>
    <t>https://www.fontinalis.com/</t>
  </si>
  <si>
    <t>Series A, Growth, Mobility Focus Invests in early-stage startups in efficient movement, industrial innovation, and sustainability.</t>
  </si>
  <si>
    <t>Wayne State University Office for Technology Commercialization</t>
  </si>
  <si>
    <t>5057 Woodward, Suite 6400, Detroit, MI 48202</t>
  </si>
  <si>
    <t>Technology commercialization, Licensing, Venture development</t>
  </si>
  <si>
    <t>https://techtransfer.wayne.edu/</t>
  </si>
  <si>
    <t>313-577-5903</t>
  </si>
  <si>
    <t>Bramdon Stawiasz, Project Manager, Innovation Programs</t>
  </si>
  <si>
    <t>Responsible for the identification, protection, marketing, and licensing of intellectual property developed by WSU faculty, staff, and corporate research alliances.</t>
  </si>
  <si>
    <t>Red Cedar Ventures (Michigan State University)</t>
  </si>
  <si>
    <t>East Lansing, MI</t>
  </si>
  <si>
    <t>325 E Grand River Ave, Suite 200, East Lansing, MI 48823</t>
  </si>
  <si>
    <t>Tech, Early-Stage</t>
  </si>
  <si>
    <t>https://michiganvca.org/investor/red-cedar-ventures-msu/</t>
  </si>
  <si>
    <t>(517) 353-9268</t>
  </si>
  <si>
    <t>Seed, Series A; supports startups emerging from Michigan State University.</t>
  </si>
  <si>
    <t>MSU Research Foundation/Spartan Ventures</t>
  </si>
  <si>
    <t>325 E Grand River Ave, East Lansing, MI 48823</t>
  </si>
  <si>
    <t>Research commercialization, startup support, funding</t>
  </si>
  <si>
    <t>https://msufoundation.org/</t>
  </si>
  <si>
    <t>Provides guidance on IP strategy, access to non-dilutive funding, expert mentorship.</t>
  </si>
  <si>
    <t>MSU Innovation Center</t>
  </si>
  <si>
    <t>325 East Grand River Ave., East Lansing, MI 48823</t>
  </si>
  <si>
    <t>Commercialization, Business Support</t>
  </si>
  <si>
    <t>https://innovationcenter.msu.edu/</t>
  </si>
  <si>
    <t>(517) 353-9269</t>
  </si>
  <si>
    <t>Michigan State University's hub for creating partnerships that develop economic value.</t>
  </si>
  <si>
    <t>Technology Innovation Center</t>
  </si>
  <si>
    <t>366 W. Circle Drive (10), East Lansing, MI 48824 USA</t>
  </si>
  <si>
    <t>Coworking, startup support</t>
  </si>
  <si>
    <t>https://msufoundation.org/east-lansing-tic/</t>
  </si>
  <si>
    <t>Supports early stage technology startups in the Greater Lansing region. Offers private offices, colaborative workspaces, and startup services.</t>
  </si>
  <si>
    <t>Beringea</t>
  </si>
  <si>
    <t>Farmington Hills, MI</t>
  </si>
  <si>
    <t>32330 West 12 Mile Road, Farmington Hills, MI 48334</t>
  </si>
  <si>
    <t>Entrepreneurs, scaling, growth</t>
  </si>
  <si>
    <t>https://www.beringea.com/</t>
  </si>
  <si>
    <r>
      <rPr>
        <rFont val="Calibri"/>
        <color rgb="FF000000"/>
        <sz val="11.0"/>
        <u/>
      </rPr>
      <t>info@beringea.com</t>
    </r>
  </si>
  <si>
    <t>Series A, Series B, Growth; transatlantic VC investor</t>
  </si>
  <si>
    <t>The Ferris Wheel</t>
  </si>
  <si>
    <t>615 Saginaw St, Flint, MI 48502</t>
  </si>
  <si>
    <t>Innovation Hub / Coworking Space</t>
  </si>
  <si>
    <t>Office space, conference rooms, phones, wifi, printers</t>
  </si>
  <si>
    <t>https://www.ferriswheelflint.com/</t>
  </si>
  <si>
    <r>
      <rPr>
        <rFont val="Calibri"/>
        <color rgb="FF000000"/>
        <sz val="11.0"/>
        <u/>
      </rPr>
      <t>hey@ferriswheelflint.com</t>
    </r>
  </si>
  <si>
    <r>
      <rPr>
        <rFont val="Calibri"/>
        <color rgb="FF000000"/>
        <sz val="11.0"/>
        <u/>
      </rPr>
      <t>810-213-4710</t>
    </r>
  </si>
  <si>
    <t>Provides space for entrepreneurs in search for coworking spaces, engineers ready to collaborate, and connections to inspiring innovators.</t>
  </si>
  <si>
    <t>Lansing Economic Area Partnership (LEAP)</t>
  </si>
  <si>
    <t>1000 S Washington Ave, Lansing, MI 48910</t>
  </si>
  <si>
    <t>Economic development, business growth, regional growth</t>
  </si>
  <si>
    <t>https://www.purelansing.com/</t>
  </si>
  <si>
    <t>harrison@purelansing.com</t>
  </si>
  <si>
    <t>Harrison Leffel-Jones, Vice President of Small Business &amp; Innovation</t>
  </si>
  <si>
    <t>Economic development organization represengint the tri-county region of Clinton, Eaton, and Ingham.</t>
  </si>
  <si>
    <t>Small Business Association of Michigan (SBAM)</t>
  </si>
  <si>
    <t>101 S. Washington Square Suite 900, Lansing, MI 48933</t>
  </si>
  <si>
    <t>Advocacy, small business resources, networking</t>
  </si>
  <si>
    <t>https://www.sbam.org/</t>
  </si>
  <si>
    <r>
      <rPr>
        <rFont val="Calibri"/>
        <color rgb="FF000000"/>
        <sz val="11.0"/>
        <u/>
      </rPr>
      <t>michael.brown@sbam.org</t>
    </r>
  </si>
  <si>
    <t>517.492.1234</t>
  </si>
  <si>
    <t>Michael Brown | Chief Operating Officer</t>
  </si>
  <si>
    <t>Advocates for small businesses, brings business owners together to share knowledge, creates collaboration and partnerships, delivers group buying power.</t>
  </si>
  <si>
    <t>Michigan Economic Development Corporation (MEDC)</t>
  </si>
  <si>
    <t>Business attraction, incentives, community development</t>
  </si>
  <si>
    <t>https://www.michiganbusiness.org/</t>
  </si>
  <si>
    <t>grinnellm@michigan.org</t>
  </si>
  <si>
    <t>Michelle Grinnell, Chief Communications &amp; Attraction Officer</t>
  </si>
  <si>
    <t>Assists businesses in their growth strategies and fosters the growth of vibrant communities across the state.</t>
  </si>
  <si>
    <t>Lansing Regional Chamber of Commerce</t>
  </si>
  <si>
    <t>500 E Michigan Ave, Lansing, MI 48912</t>
  </si>
  <si>
    <t>Advocacy, networking, business resources</t>
  </si>
  <si>
    <t>https://www.lansingchamber.org/</t>
  </si>
  <si>
    <t>517.487.6339</t>
  </si>
  <si>
    <t>Supports Lansing-area businesses to connect, grow, and thrive.</t>
  </si>
  <si>
    <t>Michigan Translational Research and Commercialization (MTRAC)</t>
  </si>
  <si>
    <t>Houghton, MI</t>
  </si>
  <si>
    <t>1400 Townsend Dr, Houghton, MI 49931</t>
  </si>
  <si>
    <t>Translational research, commercialization</t>
  </si>
  <si>
    <t>https://www.mtu.edu/research/innovation/mtrac/</t>
  </si>
  <si>
    <t>Supports collaborative translational research projects led by researchers and business advisors.</t>
  </si>
  <si>
    <t>Innovation Works</t>
  </si>
  <si>
    <t>Plymouth, MI</t>
  </si>
  <si>
    <t>41100 Plymouth Rd Suite 345, Plymouth, MI 48170</t>
  </si>
  <si>
    <t>Innovation, startups, business development</t>
  </si>
  <si>
    <t>https://www.innovationworks.com/</t>
  </si>
  <si>
    <t>412.681.1520</t>
  </si>
  <si>
    <t>Provides software and design services that transform ideas into interactive experiences.</t>
  </si>
  <si>
    <t>OU Inc</t>
  </si>
  <si>
    <t>Rochester Hills, MI</t>
  </si>
  <si>
    <t>419 Golf View Ln, Rochester, MI 48309</t>
  </si>
  <si>
    <t>Business acceleration, entrepreneurial and business startup resources, strategic business solutions technological innovation</t>
  </si>
  <si>
    <t>https://www.oakland.edu/ouinc/</t>
  </si>
  <si>
    <r>
      <rPr>
        <rFont val="Calibri"/>
        <color rgb="FF000000"/>
        <sz val="11.0"/>
        <u/>
      </rPr>
      <t>asmith18@oakland.edu</t>
    </r>
  </si>
  <si>
    <t>(248) 648-4829</t>
  </si>
  <si>
    <t>Agatha Smith, Business Manager</t>
  </si>
  <si>
    <t>Focuses on companies specializing in alternative energy, advanced/additive manufacturing, advanced automotive, advanced technology innovations, IT &amp; digital technologies, medical devices, and mobility technologies.</t>
  </si>
  <si>
    <t>Centropolis</t>
  </si>
  <si>
    <t>Southfield, MI</t>
  </si>
  <si>
    <t>21415 Civic Center Dr #100, Southfield, MI 48075</t>
  </si>
  <si>
    <t>Technology, innovation, programs, funding, expert guidance</t>
  </si>
  <si>
    <t>https://www.centrepolisaccelerator.com/</t>
  </si>
  <si>
    <r>
      <rPr>
        <rFont val="Calibri"/>
        <color rgb="FF000000"/>
        <sz val="11.0"/>
        <u/>
      </rPr>
      <t>info@centrepolisaccelerator.com</t>
    </r>
  </si>
  <si>
    <t>248-204-2453</t>
  </si>
  <si>
    <t>Offers tailored programs, funding, expert guidance to support startups and established small businesses in transforming hardtech prototypes into market-ready products.</t>
  </si>
  <si>
    <t>Automation Alley</t>
  </si>
  <si>
    <t>Troy, MI</t>
  </si>
  <si>
    <t>2675 Bellingham Dr, Troy, MI 48083</t>
  </si>
  <si>
    <t>Automation, tech innovation, business growth programs, services</t>
  </si>
  <si>
    <t>https://www.automationalley.com/</t>
  </si>
  <si>
    <t>kampen@automationalley.com</t>
  </si>
  <si>
    <t>Nicole Kampe</t>
  </si>
  <si>
    <t>Equips businesses with knowledge, insights, and tools to develop a software-first mindset that leverages the power of automation, AI, and congitive technologies.</t>
  </si>
  <si>
    <t>Michigan Small Business Development Center - State Headquarters</t>
  </si>
  <si>
    <t>Grand Rapids, MI</t>
  </si>
  <si>
    <t>50 Front Ave. SW Grand Rapids, MI 49504</t>
  </si>
  <si>
    <t>Small business development, entrepreneurship</t>
  </si>
  <si>
    <t>https://www.sbdcmichigan.org/</t>
  </si>
  <si>
    <t>hellinge@gvsu.edu</t>
  </si>
  <si>
    <t>Lizz Hellinga, Assistant State Director, Technology, Strategy &amp; Operations</t>
  </si>
  <si>
    <t>Seidman Collage of Business, Grand Valley State University</t>
  </si>
  <si>
    <t>Michigan Small Business Development Center - Capital Region</t>
  </si>
  <si>
    <t>309 N. Washington Square, Suite 115, Lansing MI 48933</t>
  </si>
  <si>
    <t>Serving Clinton, Eaton, and Ingham counties. Lansing Community College.</t>
  </si>
  <si>
    <t>Michigan Small Business Development Center - I-68 Trade Corridor Region</t>
  </si>
  <si>
    <t>1700 University Ave. Campus Center, 5th Floor. Flint, MI 48504</t>
  </si>
  <si>
    <t>Serving Genesee, Huron, Lapeer, Sanilac, Shiawassee, St. Clair, and Tuscola counties. Kettering University.</t>
  </si>
  <si>
    <t>Michigan Small Business Development Center - Lake Huron Region</t>
  </si>
  <si>
    <t>University Center, MI</t>
  </si>
  <si>
    <t>7400 Bay Rd., C300 University Center, MI 48710</t>
  </si>
  <si>
    <t>Serving Alcona, Alpena, Arenac, Bay, Cheboygan, Crawford, Iosco, Midland, Montmorency, Ogemaw, Oscode, Otsego, Presque Isle, Roscommon, and Saginaw counties. Saginaw Valley State University.</t>
  </si>
  <si>
    <t>Michigan Small Business Development Center - Greater Washtenaw Region</t>
  </si>
  <si>
    <t>4800 East Huron Driver Dr. Morris Lawrence Building, Room 162. Ann Arbor, MI 48105</t>
  </si>
  <si>
    <t>Serving Hillsdale, Jackson, Lenawee, Livingston, Monroe, Wasthenaw counties. Washtenaw Community College.</t>
  </si>
  <si>
    <t>Michigan Small Business Development Center - Mid Michigan Region</t>
  </si>
  <si>
    <t>Mr. Pleasant, MI</t>
  </si>
  <si>
    <t>2600 S. Summerton Rd. Mt. Pleasant, MI 48858</t>
  </si>
  <si>
    <t>Serving Clare, Gladwin, Gratiot, and Isabella counties. Mid Michigan College.</t>
  </si>
  <si>
    <t>Michigan Small Business Development Center - Northwest Region</t>
  </si>
  <si>
    <t>Cadillac, MI</t>
  </si>
  <si>
    <t>9600 E. 13th St. Cadillac, MI 49601</t>
  </si>
  <si>
    <t>Serving Antrim, Benzie, Charlevoix, Emmet, Grand Traverse, Kalkaska, Leelanau, Manistee, Missaukee, and Wexford counties. Baker College.</t>
  </si>
  <si>
    <t>Michigan Small Business Development Center - Southeast Region</t>
  </si>
  <si>
    <t>Ypsilanti, MI</t>
  </si>
  <si>
    <t>109 Hill Hall, 1125 Oakwood St, Ypsilanti, MI 48197</t>
  </si>
  <si>
    <t>Serving Macomb, Oakland, and Wayne counties. Eastern Michigan University.</t>
  </si>
  <si>
    <t>Michigan Small Business Development Center - Southwest Region</t>
  </si>
  <si>
    <t>Kalamazoo, MI</t>
  </si>
  <si>
    <t>262 W. Walwood Hall, 741 Oakland Drive, Kalamazoo, MI 49008</t>
  </si>
  <si>
    <t>Serving Berrien, Branch, Calhoun, Cass, Kalamazoo, St. Joseph, and Van Buren counties. Western Michigan University.</t>
  </si>
  <si>
    <t>Michigan Small Business Development Center - Upper Peninsula Region</t>
  </si>
  <si>
    <t>Serving Alger, Baraga, Chippewa, Delta, Dickinson, Gogebic, Houghton, Iron, Keweenaw, Luce, Mackinac, Marquette, Menominee, ONtonagon, and Schoolcraft counties. Michigan Technological University.</t>
  </si>
  <si>
    <t>Michigan Small Business Development Center - West Michigan Region</t>
  </si>
  <si>
    <t>50 Front Ave. SW L. William Seidman Center, Suite 1081, Grand Rapids, MI 49504</t>
  </si>
  <si>
    <t>Serving Allegan, Barry, Ionia, Kent, Lake, Mason, Mecosta, Montcalm, Muskegon, Newaygo, Oceana, Osceola, and Ottawa counties. Grand Valley State University.</t>
  </si>
  <si>
    <t>Assembly Ventures</t>
  </si>
  <si>
    <t>1555 Broadway St, 3rd Floor, Detroit, MI 48226</t>
  </si>
  <si>
    <t>Mobility, Transportation</t>
  </si>
  <si>
    <t>https://assemblyventures.com/</t>
  </si>
  <si>
    <r>
      <rPr>
        <rFont val="Calibri"/>
        <color rgb="FF000000"/>
        <sz val="11.0"/>
        <u/>
      </rPr>
      <t>contact@assemblyventures.com</t>
    </r>
  </si>
  <si>
    <t>Seed, Series A, Series B</t>
  </si>
  <si>
    <t>Augment Ventures</t>
  </si>
  <si>
    <t>206 S 4th Ave, Ann Arbor, MI 48104</t>
  </si>
  <si>
    <t>AI, Tech, Early-Stage, Fintech</t>
  </si>
  <si>
    <t>https://www.augmentventures.com/</t>
  </si>
  <si>
    <r>
      <rPr>
        <rFont val="Calibri"/>
        <color rgb="FF000000"/>
        <sz val="11.0"/>
        <u/>
      </rPr>
      <t>hello@augmentventures.com</t>
    </r>
  </si>
  <si>
    <t>Seed, Series A, Series B. Provides strategy, networks, mentorship, capital.</t>
  </si>
  <si>
    <t>BELLE Impact Fund</t>
  </si>
  <si>
    <t>Grosse Pointe Farms, MI</t>
  </si>
  <si>
    <t>26 Windermere Pl, Grosse Pointe Farms, MI 48236</t>
  </si>
  <si>
    <t>Impact Investing, Women-Led Startups</t>
  </si>
  <si>
    <t>https://www.bellefunds.com/</t>
  </si>
  <si>
    <t>Seed, Series A, Series B. Receive access to BELLE's capital and a network of partners to support the success of portfolio companies.</t>
  </si>
  <si>
    <t>Business Leaders for Michigan</t>
  </si>
  <si>
    <t>600 Renaissance Center, Suite 1760, Detroit, MI 48243-1802</t>
  </si>
  <si>
    <t>Economic development, advocacy</t>
  </si>
  <si>
    <t>https://www.businessleadersformichigan.com/</t>
  </si>
  <si>
    <t>Peterh@businessleadersformichigan.com</t>
  </si>
  <si>
    <t>Peter Hill, Vice President of Strategic Initiatives</t>
  </si>
  <si>
    <t>Develops strategies, raises awareness, advocates for policies, and champions initiatives that strengthen Michigan's economy.</t>
  </si>
  <si>
    <t>Detroit Venture Partners (DVP)</t>
  </si>
  <si>
    <t>1555 Broadway St, 3rd Floor, Detroit, MI 48226-2159</t>
  </si>
  <si>
    <t>Venture capital, startups, scaling</t>
  </si>
  <si>
    <t>https://www.detroit.vc/</t>
  </si>
  <si>
    <r>
      <rPr>
        <rFont val="Calibri"/>
        <color rgb="FF000000"/>
        <sz val="11.0"/>
        <u/>
      </rPr>
      <t>info@detroit.vc</t>
    </r>
  </si>
  <si>
    <t>Founded by Dan Gilbert, Rocket Companies Founder and Chairman, with a vision to grow Detroit's entrepreneurial community.</t>
  </si>
  <si>
    <t>Global Epicenter of Mobility</t>
  </si>
  <si>
    <t>2050 15th St, Detroit, MI 48216</t>
  </si>
  <si>
    <t>Mobility innovation, startups</t>
  </si>
  <si>
    <t>https://gemdetroitregion.com/</t>
  </si>
  <si>
    <t>Creates a smart, secure, sustainable, and advanced mobility industry, starting with the transition to next-generation electric, autonomous, and fully connected vehicles.</t>
  </si>
  <si>
    <t>Goldman Sachs 10,000 Small Businesses</t>
  </si>
  <si>
    <t>461 Burroughs, Detroit MI 48202</t>
  </si>
  <si>
    <t>Small business growth, education, entrepreneurship, financial support</t>
  </si>
  <si>
    <t>http://10ksbdetroit.com/</t>
  </si>
  <si>
    <t>Helps entrepreneurs create jobs and economic opportunity by providing them with greater access to education, financial capital, and business support services.</t>
  </si>
  <si>
    <t>Ludlow Ventures</t>
  </si>
  <si>
    <t>Consumer Tech, SaaS, Web3</t>
  </si>
  <si>
    <t>https://www.ludlowventures.com/</t>
  </si>
  <si>
    <t>Mercury Fund</t>
  </si>
  <si>
    <t>1420 Washington Blvd, Suite 301, Detroit, MI 48226</t>
  </si>
  <si>
    <t>SaaS, Industrial Tech, Data</t>
  </si>
  <si>
    <t>https://www.mercuryfund.com/</t>
  </si>
  <si>
    <r>
      <rPr>
        <rFont val="Calibri"/>
        <color rgb="FF000000"/>
        <sz val="11.0"/>
        <u/>
      </rPr>
      <t>info@mercuryfund.com</t>
    </r>
  </si>
  <si>
    <t>713.715.6820</t>
  </si>
  <si>
    <t>Seed, Series A.  Seeks out entrepreneurs in the early-stages of product-market fit and/or seeking to scale their startup.</t>
  </si>
  <si>
    <t>Michigan Angel Fund</t>
  </si>
  <si>
    <t>201 S Division Street, Suite 430, Ann Arbor, MI 48104</t>
  </si>
  <si>
    <t>https://www.miangelfund.com/</t>
  </si>
  <si>
    <t>Seed, Angel. Provides funding to capital efficient early stage companies located in Michigan.</t>
  </si>
  <si>
    <t>Michigan Capital Network</t>
  </si>
  <si>
    <t>37 Ottawa Ave NW, Suite 200, Grand Rapids, MI 49503</t>
  </si>
  <si>
    <t>https://www.michigancapitalnetwork.com/</t>
  </si>
  <si>
    <r>
      <rPr>
        <rFont val="Calibri"/>
        <color rgb="FF000000"/>
        <sz val="11.0"/>
        <u/>
      </rPr>
      <t>investments@michigancapitalnetwork.com</t>
    </r>
  </si>
  <si>
    <r>
      <rPr>
        <rFont val="Calibri"/>
        <color rgb="FF000000"/>
        <sz val="11.0"/>
        <u/>
      </rPr>
      <t>616 - 566 - 1770</t>
    </r>
  </si>
  <si>
    <t>Invests in life sciences, advanced manufacturing, advanced agriculture, software &amp; IT.</t>
  </si>
  <si>
    <t>Michigan Founders Fund</t>
  </si>
  <si>
    <t>206 E Huron St, Suite 305, Ann Arbor, MI 48104</t>
  </si>
  <si>
    <t>Entrepreneur community, impact-driven startup support</t>
  </si>
  <si>
    <t>https://michiganfoundersfund.org/</t>
  </si>
  <si>
    <t>brittni@michiganfoundersfund.org</t>
  </si>
  <si>
    <t>Brittni Abiolu, Program Manager, MFF Pre-Accelerator</t>
  </si>
  <si>
    <t>Network of entrepreneurs and investors who have pledged 1% of equity or carry to support impactful local organizations in Michigan to better our communities and enrich quality of life.</t>
  </si>
  <si>
    <t>Midwest House</t>
  </si>
  <si>
    <t>40 Pearl St NW, Grand Rapids, MI 49503</t>
  </si>
  <si>
    <t>Business innovation, culture, creative industries</t>
  </si>
  <si>
    <t>https://www.midwesthouse.org/</t>
  </si>
  <si>
    <t>Global showcase of talent and innovative thinking, as well as networking. Year-round events for innovators and creatives.</t>
  </si>
  <si>
    <t>Michigan Small Business Support Hubs</t>
  </si>
  <si>
    <t>Okemos, MI</t>
  </si>
  <si>
    <t>2501 Woodlake Circle, Okemos, MI 48864</t>
  </si>
  <si>
    <t>Entrepreneurship, innovation, tech startups, community development</t>
  </si>
  <si>
    <t>https://www.michigan.gov/leo/initiatives/mi-small-business</t>
  </si>
  <si>
    <r>
      <rPr>
        <rFont val="Calibri"/>
        <color rgb="FF000000"/>
        <sz val="11.0"/>
        <u/>
      </rPr>
      <t>888.522.0103</t>
    </r>
  </si>
  <si>
    <t>Programs such as small business lending, manufacturing technology grants, early stage funding, mobility funding, and the Michigan business development program.</t>
  </si>
  <si>
    <t>Brampton Entrepreneur Centre</t>
  </si>
  <si>
    <t>Brampton, ON</t>
  </si>
  <si>
    <t>41 George St S, Brampton, ON L6Y 2E1</t>
  </si>
  <si>
    <t>ON</t>
  </si>
  <si>
    <t>Government Program - Business Centre</t>
  </si>
  <si>
    <t>Workshops, one-on-one help, resources, coworking</t>
  </si>
  <si>
    <t>https://www.brampton.ca/EN/Business/BEC/Pages/Welcome.aspx</t>
  </si>
  <si>
    <t>bec@brampton.ca</t>
  </si>
  <si>
    <t>905-874-2650</t>
  </si>
  <si>
    <t>City-run source for small business information, resources, and guidance.</t>
  </si>
  <si>
    <t>Altitude Accelerator</t>
  </si>
  <si>
    <t>6 George Street South, Brampton, ON L6Y 1P1</t>
  </si>
  <si>
    <t>Early-stage startups, advisory, IP support</t>
  </si>
  <si>
    <t>https://altitudeaccelerator.ca/</t>
  </si>
  <si>
    <t>info@altitudeaccelerator.ca</t>
  </si>
  <si>
    <t>289-373-3050</t>
  </si>
  <si>
    <t>Not-for-profit innovation hub and business incubator committed to commercializing impactful technology.</t>
  </si>
  <si>
    <t>Rogers Cybersecure Catalyst, Toronto Metropolitan University</t>
  </si>
  <si>
    <t>350 Victoria Street, Toronto, ON M5B 2K3</t>
  </si>
  <si>
    <t>Cybersecurity training, fellowship program</t>
  </si>
  <si>
    <t>https://cybersecurecatalyst.ca/</t>
  </si>
  <si>
    <t>catalystpress@torontomu.ca</t>
  </si>
  <si>
    <t>-</t>
  </si>
  <si>
    <r>
      <rPr>
        <rFont val="Calibri"/>
        <color rgb="FF000000"/>
        <sz val="11.0"/>
      </rPr>
      <t xml:space="preserve">Has a contact form on site: </t>
    </r>
    <r>
      <rPr>
        <rFont val="Calibri"/>
        <color rgb="FF000000"/>
        <sz val="11.0"/>
        <u/>
      </rPr>
      <t>https://cybersecurecatalyst.ca/contact-us/</t>
    </r>
  </si>
  <si>
    <t>Rogers Cybersecure Catalyst is Toronto Metropolitan University’s national centre for training, innovation and collaboration in cybersecurity.</t>
  </si>
  <si>
    <t>Brantford-Brant Business Resource Enterprise Centre</t>
  </si>
  <si>
    <t>Brantford, ON</t>
  </si>
  <si>
    <t>58 Dalhousie St, Brantford, ON N3T 2J2</t>
  </si>
  <si>
    <t>Business consulting, training, funding access</t>
  </si>
  <si>
    <t>https://www.brantford.ca/en/business-and-development/business-resource-centre.aspx</t>
  </si>
  <si>
    <t>brc@brantford.ca</t>
  </si>
  <si>
    <t>519-756-4269</t>
  </si>
  <si>
    <t>Offers free business advice with expert advisors who have hands-on business experience.</t>
  </si>
  <si>
    <t>Laurier LaunchPad (Wilfrid Laurier University)</t>
  </si>
  <si>
    <t>67 Darling St, Brantford, ON N3T 2K6</t>
  </si>
  <si>
    <t>Coaching, coworking, mentorship</t>
  </si>
  <si>
    <t>https://students.wlu.ca/work-leadership-and-volunteering/entrepreneurship/launchpad-brantford/index.html</t>
  </si>
  <si>
    <t>startuplabbrantford@wlu.ca</t>
  </si>
  <si>
    <t>Supports Brantford &amp; Waterloo campuses Provides resources, expertise and networks Guides through the DIscovery, Idea, Build, and Growth Phases.</t>
  </si>
  <si>
    <t>TechPlace</t>
  </si>
  <si>
    <t>Burlington, ON</t>
  </si>
  <si>
    <t>5500 North Service Rd, Burlington, ON L7L 6W6</t>
  </si>
  <si>
    <t>Workspace, events, innovation support</t>
  </si>
  <si>
    <t>https://www.techplace.ca/</t>
  </si>
  <si>
    <t>info@techplace.ca</t>
  </si>
  <si>
    <t>289-337-5505</t>
  </si>
  <si>
    <t>An initiative of Burlington Economic Development and Tourism, TechPlace provides everything startups need to grow in one place.</t>
  </si>
  <si>
    <t>Canadian Tooling &amp; Machining Association (CTMA)</t>
  </si>
  <si>
    <t>Cambridge, ON</t>
  </si>
  <si>
    <t>140 McGovern Drive, Unit #3, Cambridge, ON N3H 4R7</t>
  </si>
  <si>
    <t>Manufacturing, tooling, machining</t>
  </si>
  <si>
    <t>https://www.ctma.com/</t>
  </si>
  <si>
    <t>info@ctma.com</t>
  </si>
  <si>
    <t>519-653-7265</t>
  </si>
  <si>
    <t>Represents, supports, and promotes the interests of tooling &amp; machining.</t>
  </si>
  <si>
    <t>Economic Development Services - Chatham-Kent</t>
  </si>
  <si>
    <t>Chatham, ON</t>
  </si>
  <si>
    <t>124 Thames St, Chatham, ON N7L 2Y8</t>
  </si>
  <si>
    <t>Business support, investment attraction, site selection</t>
  </si>
  <si>
    <t>https://www.chatham-kent.ca/EconomicDevelopment/Pages/default.aspx</t>
  </si>
  <si>
    <t>ckeds@chatham-kent.ca</t>
  </si>
  <si>
    <t>1-866-542-5994</t>
  </si>
  <si>
    <t>Municipal EDO for Chatham-Kent. Resources for businesses and small businesses, programs &amp; grants available.</t>
  </si>
  <si>
    <t>Small Business Centre Chatham-Kent</t>
  </si>
  <si>
    <t>Advisory services, training, funding</t>
  </si>
  <si>
    <t>https://www.chatham-kent.ca/EconomicDevelopment/yourbusiness/Pages/Locations.aspx</t>
  </si>
  <si>
    <t>cksbc@chatham-kent.ca</t>
  </si>
  <si>
    <t>519-351-7700</t>
  </si>
  <si>
    <t>Supports early-stage entrepreneursin Chatham-Kent.</t>
  </si>
  <si>
    <t>SOAR Innovation</t>
  </si>
  <si>
    <t>202 King Street West Suite 300, Chatham, Ontario N7M 1E5</t>
  </si>
  <si>
    <t>Startup advisory, coworking, workshops</t>
  </si>
  <si>
    <t>https://soarinnovation.com/</t>
  </si>
  <si>
    <t>info@soarinnovation.com</t>
  </si>
  <si>
    <t>519-397-3142</t>
  </si>
  <si>
    <t>Not-for-profit, community centric organization that functions as an epicenter for entrepreneurship.</t>
  </si>
  <si>
    <t>Essex Community Futures Development Corporation</t>
  </si>
  <si>
    <t>Essex, ON</t>
  </si>
  <si>
    <t>39 Maidstone Ave E, Essex, ON N8M 2J3</t>
  </si>
  <si>
    <t xml:space="preserve">VC and Funding </t>
  </si>
  <si>
    <t>Business financing, counselling, rural development</t>
  </si>
  <si>
    <t>https://cfessexcounty.ca/</t>
  </si>
  <si>
    <t>help@cfessexcounty.ca</t>
  </si>
  <si>
    <t>519-776-9297</t>
  </si>
  <si>
    <t>Not-for-profit dedicated to providing business financing and counselling to entrepreneurs in rural Essex County.</t>
  </si>
  <si>
    <t>Bioenterprise Canada</t>
  </si>
  <si>
    <t>Guelph, ON</t>
  </si>
  <si>
    <t>120 Research Lane, Suite 202, Guelph, ON N1G 0B4</t>
  </si>
  <si>
    <t>Agri-tech commercialization, funding access, mentoring</t>
  </si>
  <si>
    <t>https://bioenterprise.ca/</t>
  </si>
  <si>
    <t>info@bioenterprise.ca</t>
  </si>
  <si>
    <t>519-821-2960</t>
  </si>
  <si>
    <t>Dedicated to advancing good and agri-tech innovation across Canada.</t>
  </si>
  <si>
    <t>Innovation Centre at the University of Guelph</t>
  </si>
  <si>
    <t>50 Stone Rd E, Guelph, ON N1G 2W1</t>
  </si>
  <si>
    <t>Tech startups, Agri-tech, Sustainability, Innovation</t>
  </si>
  <si>
    <t>https://www.uoguelph.ca/research/innovation/</t>
  </si>
  <si>
    <t>researchinnovation@uoguelph.ca</t>
  </si>
  <si>
    <t>519-824-4120 x. 58878</t>
  </si>
  <si>
    <t>Supports researchers, entrepreneurs, and industry partners as they navigate the journey from idea to impact.</t>
  </si>
  <si>
    <t>Ontario Agri-Food Innovation Alliance</t>
  </si>
  <si>
    <t>50 Stone Road East, Guelph, Ontario N1G 2W1</t>
  </si>
  <si>
    <t>Research funding, commercialization support, innovation collaboration, industry partnerships</t>
  </si>
  <si>
    <t>https://www.uoguelph.ca/alliance/</t>
  </si>
  <si>
    <t>rhallett@uoguelph.ca</t>
  </si>
  <si>
    <t>519-824-4120 x. 54488</t>
  </si>
  <si>
    <t>Rebecca Hallett, Interim Associate Vice President</t>
  </si>
  <si>
    <t>Collaboration that brings together the University of Guelph, the Ontario Ministry of Agriculture, Food and Agribusiness, and Agricultural Research and Innovation Ontario to deliver Ontario solutions with global impact.</t>
  </si>
  <si>
    <t>Innovation Factory</t>
  </si>
  <si>
    <t>Hamilton, ON</t>
  </si>
  <si>
    <t>175 Longwood Rd S #101A, Hamilton, ON L8P 0A1</t>
  </si>
  <si>
    <t>Workshops, funding &amp; investment, IP programming, pitch competitions, early stage programming, peer networks</t>
  </si>
  <si>
    <t>https://innovationfactory.ca/</t>
  </si>
  <si>
    <t>info@innovationfactory.ca</t>
  </si>
  <si>
    <t>905-667-2611</t>
  </si>
  <si>
    <t>Elevates key indsutry sectors including advanced manufacturing, clean tech, IT, smart transportation, life sciences, health care, and social innovations.</t>
  </si>
  <si>
    <t>The Forge: McMaster University</t>
  </si>
  <si>
    <t>175 Longwood Rd S Suite B21, Hamilton, ON L8P 0A1</t>
  </si>
  <si>
    <t>Business acceleration, Tech startups, Entrepreneurship</t>
  </si>
  <si>
    <t>https://theforge.mcmaster.ca/</t>
  </si>
  <si>
    <t>info@theforge.mcmaster.ca</t>
  </si>
  <si>
    <t>905-525-9140 x. 24748</t>
  </si>
  <si>
    <t>The Forge is the business incubator for McMaster University and the Hamilton, Greater Toronto, and Niagara Regions.</t>
  </si>
  <si>
    <t>Centre for Surgical Invention &amp; Innovation (CSii)</t>
  </si>
  <si>
    <t>50 Charlton Avenue East, Rm T2140, Hamilton, ON L8N 1Y3</t>
  </si>
  <si>
    <t>Medical robotics and technology, innovation</t>
  </si>
  <si>
    <t>https://www.csii.ca/</t>
  </si>
  <si>
    <t>dvivian@stjoes.ca</t>
  </si>
  <si>
    <t>905-746-8848</t>
  </si>
  <si>
    <t>Debra Vivian, Director of Communications</t>
  </si>
  <si>
    <t>Accelerator committed to enhancing the quality and access to healthcare for all Canadians through the development and commercialization of innovative medical robotic technologies and novel techniques.</t>
  </si>
  <si>
    <t>Hamilton Business Centre</t>
  </si>
  <si>
    <t>71 Main St W, Hamilton, ON L8P 4Y5</t>
  </si>
  <si>
    <t>Programs, workshops, courses, newsletter</t>
  </si>
  <si>
    <t>https://investinhamilton.ca/hamilton-business-centre/</t>
  </si>
  <si>
    <t>hbc@hamilton.ca</t>
  </si>
  <si>
    <t>905-540-6411</t>
  </si>
  <si>
    <t>Provides information, tools, and resources that entrepreneurs need to start and grow their businesses.</t>
  </si>
  <si>
    <t>Launch Lab</t>
  </si>
  <si>
    <t>Kingston, ON</t>
  </si>
  <si>
    <t>945 Princess St Suite 1101, Kingston, ON K7L 0E9</t>
  </si>
  <si>
    <t>Business advisory, investment readiness, mentorship</t>
  </si>
  <si>
    <t>https://www.launchlab.ca/</t>
  </si>
  <si>
    <t>garrett.eilliott@launchlab.ca</t>
  </si>
  <si>
    <t>343-276-0023</t>
  </si>
  <si>
    <t>Garrett Elliott, General Manager</t>
  </si>
  <si>
    <t>Eastern Ontario focus. Help companies find success through innovation.</t>
  </si>
  <si>
    <t>GreenCentre Canada</t>
  </si>
  <si>
    <t>Commercializing green chemistry technologies, sustainable innovation partnerships.</t>
  </si>
  <si>
    <t>www.greencentrecanada.com </t>
  </si>
  <si>
    <t>Site is down.</t>
  </si>
  <si>
    <t>Provides technical services to SMEs based in Ontario that are developing technologies related to the Circular Economy.</t>
  </si>
  <si>
    <t>Communitech</t>
  </si>
  <si>
    <t>Kitchener, ON</t>
  </si>
  <si>
    <t>151 Charles St W, Kitchener, ON N2G 1H6</t>
  </si>
  <si>
    <t>Technology, innovation, startup ecosystem, digital industries, venture funding</t>
  </si>
  <si>
    <t>https://www.communitech.ca/</t>
  </si>
  <si>
    <t>front.desk@communitech.ca</t>
  </si>
  <si>
    <t>519-888-9944</t>
  </si>
  <si>
    <t>Helps tech companies start, grow, and succeed in Waterloo Region.</t>
  </si>
  <si>
    <t>Golden Triangle Angel Network (GTAN)</t>
  </si>
  <si>
    <t>210-137 Glasgow St Office 166, Kitchener, ON N2G 4X8</t>
  </si>
  <si>
    <t>Health, Cleantech, ICT</t>
  </si>
  <si>
    <t>https://www.gtan.ca/</t>
  </si>
  <si>
    <t>info@gtan.ca</t>
  </si>
  <si>
    <t>Invests into Canadian Angel, Pre-Seed, Seed, Series A technology companies.</t>
  </si>
  <si>
    <t>Velocity Incubator</t>
  </si>
  <si>
    <t>280 Joseph Street Suite 2000, Kitchener, ON N2G 4Z5</t>
  </si>
  <si>
    <t>Tech startups, Innovation, Office, Hardware, Labs</t>
  </si>
  <si>
    <t>https://velocityincubator.ca/</t>
  </si>
  <si>
    <t>519-804-2240</t>
  </si>
  <si>
    <t>Has contact form on site.</t>
  </si>
  <si>
    <t>Helps founders in the critical early stages of business building. Strengthened by the University of Waterloo.</t>
  </si>
  <si>
    <t>Conestoga College SMART Centre</t>
  </si>
  <si>
    <t>96 Grand Avenue South, Cambridge, ON N1S 2L9</t>
  </si>
  <si>
    <t>Applied research, manufacturing and tech training, entrepreneurship support, freelance Gig Lab</t>
  </si>
  <si>
    <t>https://research.conestogac.on.ca/smart-centre</t>
  </si>
  <si>
    <t>appliedresearch@conestogac.on.ca</t>
  </si>
  <si>
    <t>519-748-5220</t>
  </si>
  <si>
    <t>Hub for innovation, helping small, medium, and large businesses overcome challenges in manufacturing, IT, automotive, health tech, food and beverage manufacturing, and zero-emissions industries.</t>
  </si>
  <si>
    <t>Medical Innovation Xchange (MIX)</t>
  </si>
  <si>
    <t>809 Wellington Street North, Unit 2, Kitchener, ON N2H 5L6</t>
  </si>
  <si>
    <t>Medtech support, scale-up mentorship.</t>
  </si>
  <si>
    <t>https://medicalinnovationxchange.com/</t>
  </si>
  <si>
    <t>info@medicalinnovationxchange.com</t>
  </si>
  <si>
    <t>MIX is a network of like-minded, Canadian medical and health technology companies who share the same vision and purpose; to grow their business in their own backyard, support patients and clinicians with truly innovative solutions and pay-it-forward by helping other medtech companies grow and succeed.</t>
  </si>
  <si>
    <t>Centre for Horticultural Innovation</t>
  </si>
  <si>
    <t>Leamington, ON</t>
  </si>
  <si>
    <t>4 Seneca Road, Leamington, ON N8H 5H7</t>
  </si>
  <si>
    <t>https://southsx.com/</t>
  </si>
  <si>
    <t>519-322-5995</t>
  </si>
  <si>
    <t>The Center for Horticultural Innovation is a dynamic institution committed to advancing horticultural sciences, fostering innovation, and supporting sustainable practices within the horticulture industry. </t>
  </si>
  <si>
    <t>Leap Junction (Fanshawe College)</t>
  </si>
  <si>
    <t>London, ON</t>
  </si>
  <si>
    <t>1001 Fanshawe College Blvd, Room D1060, London, ON N5V 2A5</t>
  </si>
  <si>
    <t>Student entrepreneurship, mentorship, business planning</t>
  </si>
  <si>
    <t>https://www.leapjunction.ca/</t>
  </si>
  <si>
    <t>leapjunction@fanshawec.ca</t>
  </si>
  <si>
    <t>519-452-4430 x. 16190</t>
  </si>
  <si>
    <t>Entrepreneurial services for Fanshawe College students &amp; alumni.</t>
  </si>
  <si>
    <t>Propel Entrepreneurship (Western University)</t>
  </si>
  <si>
    <t>1151 Richmond St, London, ON N6A 3K7</t>
  </si>
  <si>
    <t>Mentorship, workshops, co-working, pitch competitions</t>
  </si>
  <si>
    <t>https://entrepreneurship.uwo.ca/</t>
  </si>
  <si>
    <t>eamorse@ivey.ca</t>
  </si>
  <si>
    <t>Eric Morse, Executive Director</t>
  </si>
  <si>
    <t>Western University’s main entrepreneurship hub.</t>
  </si>
  <si>
    <t>Pillar Nonprofit Network – Innovation Works</t>
  </si>
  <si>
    <t>201 King Street London, ON, N6A 1C9</t>
  </si>
  <si>
    <t>Social innovation, community-building, impact entrepreneurship.</t>
  </si>
  <si>
    <t>https://pillarnonprofit.ca/</t>
  </si>
  <si>
    <t>membership@pillarnonprofit.ca</t>
  </si>
  <si>
    <t>519-433-7876</t>
  </si>
  <si>
    <t>Delivers programs and services to strengthen the positive community impact of individuals, organizations, and entrerprises.</t>
  </si>
  <si>
    <t>TechAlliance of Southwestern Ontario</t>
  </si>
  <si>
    <t>333 Dufferin Ave, London, ON N6G 1Z3</t>
  </si>
  <si>
    <t>Technology innovation, business growth meetups, funding, resources</t>
  </si>
  <si>
    <t>https://www.techalliance.ca/</t>
  </si>
  <si>
    <t>hello@techalliance.ca</t>
  </si>
  <si>
    <t>226-781-7200</t>
  </si>
  <si>
    <t>TechAlliance empowers tech companies and entrepreneurs with free coaching and advisory services to grow Canada's vibrant tech community.</t>
  </si>
  <si>
    <t>London Economic Development Corporation (LEDC)</t>
  </si>
  <si>
    <t>380 Wellington St Suite 701, London, ON N6A 5B5</t>
  </si>
  <si>
    <t>Business attraction/retention, cluster support</t>
  </si>
  <si>
    <t>https://www.ledc.com/</t>
  </si>
  <si>
    <t>519-661-4545 or 800-327-2428</t>
  </si>
  <si>
    <t>Works with existing businesses in London and businesses considering expanding to London in the agri-food, manufacturing, digital media and tech, health, and professional services sectors.</t>
  </si>
  <si>
    <t>Small Business Centre London</t>
  </si>
  <si>
    <t>900 King St, London, ON N5W 5K3</t>
  </si>
  <si>
    <t>Training, mentorship, Starter Company Plus, Foodpreneur program</t>
  </si>
  <si>
    <t>https://sbcentre.ca/</t>
  </si>
  <si>
    <t>info@sbcentre.ca</t>
  </si>
  <si>
    <t>519-659-2882 x.221</t>
  </si>
  <si>
    <t>Not-for-profit organization that provides training and support to starting and growing businesses.</t>
  </si>
  <si>
    <t>Mississauga Business Entrepreneur Centre</t>
  </si>
  <si>
    <t>Mississauga, ON</t>
  </si>
  <si>
    <t>100 City Centre Dr 2nd floor, Mississauga, ON L5B 2C9</t>
  </si>
  <si>
    <t>Business guidance, starter programs mentorship, scale and commercialize solutions</t>
  </si>
  <si>
    <t>https://www.ideamississauga.ca/</t>
  </si>
  <si>
    <t>donna.heslin@mississauga.ca</t>
  </si>
  <si>
    <t>905-615-4460</t>
  </si>
  <si>
    <t>Donna Heslin, Manager</t>
  </si>
  <si>
    <t>City-wide ecosystem led by the Economic Development Division within the City of Mississauga's Planning and BUilding Department.</t>
  </si>
  <si>
    <t>Northern Centre for Advanced Technology (NORCAT)</t>
  </si>
  <si>
    <t>151 Superior Blvd. Unit 8-10, Mississauga, ON L5T 2L1</t>
  </si>
  <si>
    <t>Startup support, skills training, testing lab</t>
  </si>
  <si>
    <t>https://www.norcat.org/innovation/</t>
  </si>
  <si>
    <t>gta@norcat.org</t>
  </si>
  <si>
    <t>647-317-0915</t>
  </si>
  <si>
    <t>Sudbury's Regional Innovation Centre focused on supporting early-stage tech startups and the people founding them. Provides access to key resources and connections.</t>
  </si>
  <si>
    <t>ICUBE UTM (University of Toronto-Mississauga)</t>
  </si>
  <si>
    <t>3359 Mississauga Rd, Mississauga, ON L5L 1C6</t>
  </si>
  <si>
    <t>Coworking space, mentorship and support, training and programs, grants and resources</t>
  </si>
  <si>
    <t>https://icubeutm.ca/</t>
  </si>
  <si>
    <t>icube.utm@utoronto.ca</t>
  </si>
  <si>
    <t>Supports Social Entrepreneurs &amp; Early-Stage Startups at University of Toronto-Mississauga.</t>
  </si>
  <si>
    <t>Foresight Canada (Cleantech Accelerator)</t>
  </si>
  <si>
    <t xml:space="preserve">Toronto, ON </t>
  </si>
  <si>
    <t>192 Spadina Ave, Suite 201, Toronto, ON M5T 2C2</t>
  </si>
  <si>
    <t>Cleantech startup acceleration, funding access, mentoring.</t>
  </si>
  <si>
    <t>https://foresightcac.com/</t>
  </si>
  <si>
    <t>604-245-0042</t>
  </si>
  <si>
    <t>As Canada's largest cleantech innovation and adoption accelerator, we connect public and private sector buyers with market-driven innovation—enhancing productivity, lowering costs, and creating high-quality jobs—powered by Canadian cleantech.</t>
  </si>
  <si>
    <t>Niagara Falls Innovation Hub</t>
  </si>
  <si>
    <t>Niagara Falls, ON</t>
  </si>
  <si>
    <t>4551 Zimmerman Ave, Niagara Falls, ON L2E 3M5</t>
  </si>
  <si>
    <t>Startups, coworking, business programs</t>
  </si>
  <si>
    <t>https://nfinnovationhub.ca/</t>
  </si>
  <si>
    <t>dbordenave@nfinnovationhub.ca</t>
  </si>
  <si>
    <t>289-650-1770</t>
  </si>
  <si>
    <t>Dan Bordenave, CEO</t>
  </si>
  <si>
    <t>Empowers Niagara's entrepreneurs to build successful, scalable businesses through expert coaching, cutting-edge resources, and a vibrant comunity.</t>
  </si>
  <si>
    <t>EDGE at Sheridan College</t>
  </si>
  <si>
    <t>4226 Duke of York Blvd, Mississauga, ON L5B 0G5</t>
  </si>
  <si>
    <t>Membership, Programs, Workspace, Mentorship, Funding</t>
  </si>
  <si>
    <t>https://edge.sheridancollege.ca/</t>
  </si>
  <si>
    <t>edge@sheridancollege.ca</t>
  </si>
  <si>
    <t>905-615-7955</t>
  </si>
  <si>
    <t>Provides networks, resources, and expertise to turn ideas into impact. A Sheridan College initiative</t>
  </si>
  <si>
    <t>Bioindustrial Innovation Canada (BIC)</t>
  </si>
  <si>
    <t>Sarnia, ON</t>
  </si>
  <si>
    <t>1086 Modeland Road, Sarnia, ON N7S 6L2</t>
  </si>
  <si>
    <t>Support for sustainable bioindustrial innovation, bioeconomy scaling, agri-tech commercialization</t>
  </si>
  <si>
    <t>https://www.bincanada.ca/</t>
  </si>
  <si>
    <t>mseagrave@bincanada.ca</t>
  </si>
  <si>
    <t>Meaghan Seagrave, Executive DIrector</t>
  </si>
  <si>
    <t xml:space="preserve">Bioindustrial Innovation Canada provides critical strategic investment, advice and services to business developers of clean, green and sustainable technologies. </t>
  </si>
  <si>
    <t>Brock LINC (Brock University)</t>
  </si>
  <si>
    <t>St. Catharines, ON</t>
  </si>
  <si>
    <t>1812 Sir Isaac Brock Way, St. Catharines, ON L2S 3A1</t>
  </si>
  <si>
    <t>Idea validation, maker space, startup support</t>
  </si>
  <si>
    <t>https://brocku.ca/linc/</t>
  </si>
  <si>
    <t>brockLINC@brocku.ca</t>
  </si>
  <si>
    <t>Provides support for the Brock and Niagara communities. Support for research commercialization, entrepreneurship, and industry partnerships, with a focus on helping Brock ideas and technologies get to market.</t>
  </si>
  <si>
    <t>Innovate Niagara</t>
  </si>
  <si>
    <t>386 St. Paul Street Suite 102, St. Catharines, ON L2R 3N2</t>
  </si>
  <si>
    <t>Mentorship, market intelligence, networking opportunities, funded resources, Niagara's Innovation Ecosystem</t>
  </si>
  <si>
    <t>https://www.innovateniagara.com/site/home</t>
  </si>
  <si>
    <t>905-685-3460</t>
  </si>
  <si>
    <t>Niagara-wide services Helps entrepreneurs with innovation-based companies start, grow, and succeed.</t>
  </si>
  <si>
    <t>UTEST (University of Toronto)</t>
  </si>
  <si>
    <t>Toronto, ON</t>
  </si>
  <si>
    <t>108 College Street, Suite W680, Toronto, ON M5G 0C6</t>
  </si>
  <si>
    <t>Early-stage deep tech &amp; research startups, provides investment capital, mentoring, business strategy, and incubatino space.</t>
  </si>
  <si>
    <t>https://utest.to/</t>
  </si>
  <si>
    <t>kurtis.scissons@utoronto.ca</t>
  </si>
  <si>
    <t>Kurtis Scissons, Director</t>
  </si>
  <si>
    <t>Provides support to University of Toronto entrepreneurs to create research-based companies. In partnership with Toronto Innovation Acceleration Partners (TIAP)</t>
  </si>
  <si>
    <t>Humber Centre for Entrepreneurship</t>
  </si>
  <si>
    <t>205 Humber College Blvd, Toronto, Ontario M9W 5L7</t>
  </si>
  <si>
    <t>Student startups, bootcamps, co-working</t>
  </si>
  <si>
    <t>https://humber.ca/cfe/</t>
  </si>
  <si>
    <t>cfe@humber.ca</t>
  </si>
  <si>
    <t>In collaboration with Humber's Centres of Innovation Netword, we provide interdisciplinary learning opportunities that equip students with strategic problem-solving skills and foster innovative thinking.</t>
  </si>
  <si>
    <t>TMU Social Ventures Zone (TMU)</t>
  </si>
  <si>
    <t>Toronto Metropolitan University KHS 45, 350 Victoria St, Toronto, ON M5B 2K3</t>
  </si>
  <si>
    <t>Social entrepreneurship, mentorship, funding, work space</t>
  </si>
  <si>
    <t>https://www.torontomu.ca/svz/</t>
  </si>
  <si>
    <t>socialventures@torontomu.ca</t>
  </si>
  <si>
    <t>416-979-5000 x. 557255</t>
  </si>
  <si>
    <t>Work with innovators to develop their ventures, supporting them with coaching, training, work space, and funding opportunities.</t>
  </si>
  <si>
    <t>TABIA (Toronto Association of BIAs)</t>
  </si>
  <si>
    <t>100 Princes’ Blvd, Toronto, ON M6K 3C3</t>
  </si>
  <si>
    <t>Support for 84 BIAs, marketing, policy advocacy</t>
  </si>
  <si>
    <t>https://www.toronto-bia.com/</t>
  </si>
  <si>
    <t>info@toronto-bia.com</t>
  </si>
  <si>
    <t>416-263-3229</t>
  </si>
  <si>
    <t>The voice of Toronto's BIAs.</t>
  </si>
  <si>
    <t>MaRS Discovery District</t>
  </si>
  <si>
    <t>101 College Street, Suite 100, Toronto, ON M5G 1L7</t>
  </si>
  <si>
    <t>Targeted support for Canadian science and tech companies</t>
  </si>
  <si>
    <t>https://marsdd.com/</t>
  </si>
  <si>
    <t>community@marsdd.com</t>
  </si>
  <si>
    <t>416-673-8100</t>
  </si>
  <si>
    <t>MaRS supports hundreds of companies at every stage of growth to achieve global impact and scale.</t>
  </si>
  <si>
    <t>MaRS Discovery District - Health Sciences</t>
  </si>
  <si>
    <t>Health innovation support, funding navigation, commercialization acceleration.</t>
  </si>
  <si>
    <t>https://www.marsdd.com/our-sectors/health/</t>
  </si>
  <si>
    <t>MaRS Health sciences connects innovators with capital, industry expertise and networks, helping ventures scale faster and make global impact.</t>
  </si>
  <si>
    <t>Toronto Business Development Centre (TBDC)</t>
  </si>
  <si>
    <t>111 Peter St, 9th Floor, Suite 902, Toronto, ON M5V 2H1</t>
  </si>
  <si>
    <t>Startup training, advisory services, access to funding</t>
  </si>
  <si>
    <t>https://tbdc.com/</t>
  </si>
  <si>
    <t>416-345-9437</t>
  </si>
  <si>
    <t>Non-profit multi-sector incubator set up in 1990 by the City of Toronto, that brings 35 years of experience in building businesses and business networks in Ontario.</t>
  </si>
  <si>
    <t>Next Canada</t>
  </si>
  <si>
    <t>175 Bloor St E Suite 1800, Toronto, ON M4W 3R8</t>
  </si>
  <si>
    <t>Founder education, scaling support, mentorship</t>
  </si>
  <si>
    <t>https://www.nextcanada.com/</t>
  </si>
  <si>
    <t>info@nextcanada.com</t>
  </si>
  <si>
    <t>Entrepreneurial network made up of 500+ top Canadian academics, entrepreneurs, investors, and founders.</t>
  </si>
  <si>
    <t>Toronto Global</t>
  </si>
  <si>
    <t>225 King Street West Suite 901, Toronto, ON M5V 3M2</t>
  </si>
  <si>
    <t>FDI support, Site Selection, International Investors</t>
  </si>
  <si>
    <t>https://torontoglobal.ca/</t>
  </si>
  <si>
    <t>info@torontoglobal.ca</t>
  </si>
  <si>
    <t>416-981-3888</t>
  </si>
  <si>
    <t>Understands specific needs and intersts of each company, and offers complimentary services that help streamline access to the information and connections they need most to make a well informed expansion decision.</t>
  </si>
  <si>
    <t>Canada Foundation for Innovation (CFI)</t>
  </si>
  <si>
    <t>Ottawa, ON</t>
  </si>
  <si>
    <t>55 Metcalfe Street, Suite 100, Ottawa, ON K1P 6L5</t>
  </si>
  <si>
    <t>Investments for research</t>
  </si>
  <si>
    <t>https://www.innovation.ca/</t>
  </si>
  <si>
    <t>info@innovation.ca</t>
  </si>
  <si>
    <t>613-947-6496</t>
  </si>
  <si>
    <t>Non-profit corporation that invests in research infrastructure at Canadian universities, colleges, research hospitals, and non-profit research institutions.</t>
  </si>
  <si>
    <t xml:space="preserve">DMZ </t>
  </si>
  <si>
    <t>10 Dundas Street East, 6th Floor, Toronto, ON M5B 2G9</t>
  </si>
  <si>
    <t>Startup acceleration, funding access, mentorship, pitch competitions</t>
  </si>
  <si>
    <t>https://dmz.torontomu.ca/</t>
  </si>
  <si>
    <t>dmz@torontomu.ca</t>
  </si>
  <si>
    <t>416-979-5000 x. 552072</t>
  </si>
  <si>
    <t>Tech incubator and global startup ecosystem that helps founders build high-impact ventures. Supports entrepreneurship at every stage, from early ideation to international expansion.</t>
  </si>
  <si>
    <t>CyberNorth Ventures</t>
  </si>
  <si>
    <t>365 Bay Street, Suite 400, Toronto, ON M5H 2V1</t>
  </si>
  <si>
    <t>Investments</t>
  </si>
  <si>
    <t>https://www.cybernorthventures.com/</t>
  </si>
  <si>
    <t>Unclear if still active. Has a contact form on website.</t>
  </si>
  <si>
    <t>Invests in seed stage technology companies focused within industries such as social media, big data, digital healthcare, cloud computing, nano-technology, security and mobile applications. Investments are focused within the Toronto-Waterloo corridor for solely Canadian companies.</t>
  </si>
  <si>
    <t>Innovation York</t>
  </si>
  <si>
    <t>4700 Keele St, York University, Toronto, ON M3J 1P3</t>
  </si>
  <si>
    <t>Startup incubation, commercialization, research partnerships</t>
  </si>
  <si>
    <t>https://www.yorku.ca/research/innovation-partnerships/</t>
  </si>
  <si>
    <t>fmoses@yorku.ca</t>
  </si>
  <si>
    <t>416-736--5479 or 416-736-2100 x. 58185</t>
  </si>
  <si>
    <t>Felix Moses, Senior Executive Officer</t>
  </si>
  <si>
    <t>Facilitates collaboration with external partners such as startups, research institutions, community and government organizations, and businesses to co-create innovative solutions. Supports ventures at York University</t>
  </si>
  <si>
    <t>Centre for Social Innovation (CSI)</t>
  </si>
  <si>
    <t>720 Bathurst St, Toronto, ON M5S 2R4</t>
  </si>
  <si>
    <t>Social enterprise incubation, coworking space, innovation community-building.</t>
  </si>
  <si>
    <t>https://socialinnovation.org/</t>
  </si>
  <si>
    <t>info@socialinnovation.ca</t>
  </si>
  <si>
    <t>416-979-3939 x. 2</t>
  </si>
  <si>
    <t>Inspires and supports people to create, develop, adopt, and integrate new and renewed concepts and practices that put people and planet first.</t>
  </si>
  <si>
    <t>Creative Destruction Lab (CDL)</t>
  </si>
  <si>
    <t>Rotman School of Management, 105 St George St, Toronto, ON M5S 3E6</t>
  </si>
  <si>
    <t>Venture acceleration for science-based startups mentorship</t>
  </si>
  <si>
    <t>https://www.creativedestructionlab.com/</t>
  </si>
  <si>
    <t>smallbusiness@toronto.ca</t>
  </si>
  <si>
    <t>416-397-7220</t>
  </si>
  <si>
    <t>Non-profit organization that delivers an objectives-based program for massively scalable, seed-stage, science and technology based companies.</t>
  </si>
  <si>
    <t>Toronto Small Business Enterprise Centre</t>
  </si>
  <si>
    <t>Scarborough, ON</t>
  </si>
  <si>
    <t>150 Borough Dr, Scarborough, ON M1P 4N6</t>
  </si>
  <si>
    <t>Consultations, mentoring, business plan reviews, licensing support</t>
  </si>
  <si>
    <t>https://www.toronto.ca/business-economy/new-businesses-startups/small-business-support/</t>
  </si>
  <si>
    <t>The Toronto Small Business Enterprise Centre offers free guidance, information, and tools entrepreneurs need to start and grow their businesses.</t>
  </si>
  <si>
    <t>Ontario Chamber of Commerce</t>
  </si>
  <si>
    <t>180 Dundas St W, Toronto, ON M5G 1Z8</t>
  </si>
  <si>
    <t>Policy, member support, promotion, provincial business representation</t>
  </si>
  <si>
    <t>https://occ.ca/</t>
  </si>
  <si>
    <t>lisakelly@occ.ca</t>
  </si>
  <si>
    <t>416-482-5222</t>
  </si>
  <si>
    <t>Lisa Kelly, Business Development Manager</t>
  </si>
  <si>
    <t>Independent, non-profit advocacy and member services organization representing a diverse network of 60,000 members.</t>
  </si>
  <si>
    <t>Canadian Council for Aboriginal Business (CCAB)</t>
  </si>
  <si>
    <t>2 Berkeley Street, Suite 202 Toronto, Ontario M5A 4J5</t>
  </si>
  <si>
    <t>Indigenous entrepreneurship, economic reconciliation initiatives, business development.</t>
  </si>
  <si>
    <t>https://www.ccib.ca/</t>
  </si>
  <si>
    <t>info@ccib.ca</t>
  </si>
  <si>
    <t>416-961-8663</t>
  </si>
  <si>
    <t>CCIB helps keep Indigenous businesses at the forefront of the Canadian economy, fostering relationships between Indigenous entrepreneurs and Canada’s institutional enterprises to cultivate shared prosperity.</t>
  </si>
  <si>
    <t>Vineland Research and Innovation Centre</t>
  </si>
  <si>
    <t>Vineland Station, ON</t>
  </si>
  <si>
    <t>4890 Victoria Avenue North, Box 4000, Vineland Station, ON L0R 2E0</t>
  </si>
  <si>
    <t>Agri-tech R&amp;D, commercialization, partnerships, horticultural innovation</t>
  </si>
  <si>
    <t>https://www.vinelandresearch.com/</t>
  </si>
  <si>
    <t>info@vinelandreasearch.com</t>
  </si>
  <si>
    <t>905-562-0320</t>
  </si>
  <si>
    <t>Canadian results-oriented organization dedicated to horticulture science and innovation.</t>
  </si>
  <si>
    <t>Institute for Quantum Computing (IQC) (University of Waterloo)</t>
  </si>
  <si>
    <t>Waterloo, ON</t>
  </si>
  <si>
    <t>200 University Ave W, Waterloo, ON N2L 3G1</t>
  </si>
  <si>
    <t>Quantum computing, Research, Innovation</t>
  </si>
  <si>
    <t>https://uwaterloo.ca/institute-for-quantum-computing</t>
  </si>
  <si>
    <t>iqc-csi@uwaterloo.ca</t>
  </si>
  <si>
    <t>World-leading quantum institute at the University of Waterloo, advancing the field of quantum information at the highest international level to discover and develop powerful new quantum technologies that will drive future economies.</t>
  </si>
  <si>
    <t>Microelectronics Heat Transfer Laboratory (MHTL) (University of Waterloo)</t>
  </si>
  <si>
    <t>Microelectronics, Engineering, Tech research</t>
  </si>
  <si>
    <t>https://uwaterloo.ca/microelectronics-heat-transfer-laboratory/</t>
  </si>
  <si>
    <t>rix@uwaterloo.ca</t>
  </si>
  <si>
    <t>Dr. Rick Culham, Professor</t>
  </si>
  <si>
    <t>Provides research ervices related to analytical modelling, materials characterization, and experimental testing for a wide range of companies froms tart-ups to multi-nationals.</t>
  </si>
  <si>
    <t>Waterloo Advanced Systems Lab (WASL)</t>
  </si>
  <si>
    <t>Distributed systems, Network optimization, Data storage</t>
  </si>
  <si>
    <t>https://wasl.uwaterloo.ca/</t>
  </si>
  <si>
    <t>alkiswany@uwaterloo.ca</t>
  </si>
  <si>
    <t>Dr. Samer Al-Kiswany, Professor</t>
  </si>
  <si>
    <t>Focuses on building the next generation of high performance, reliable, and scalable distributed systems.</t>
  </si>
  <si>
    <t>Waterloo Advanced Technology Laboratory (WATLab)</t>
  </si>
  <si>
    <t>Materials research, Emerging technologies, Instrumentation</t>
  </si>
  <si>
    <t>https://uwaterloo.ca/waterloo-advanced-technology-laboratory</t>
  </si>
  <si>
    <t>tong@uwaterloo.ca</t>
  </si>
  <si>
    <t>519-888-4567</t>
  </si>
  <si>
    <t>Dr. Kam Tong Leung, Professor and Advisor</t>
  </si>
  <si>
    <t>Offers a complete toolset for advanced materials research and emerging technology development.</t>
  </si>
  <si>
    <t>Waterloo Institute for Nanotechnology (WIN)</t>
  </si>
  <si>
    <t>Nanotechnology, Nanoscience, Research innovation</t>
  </si>
  <si>
    <t>https://uwaterloo.ca/institute-nanotechnology</t>
  </si>
  <si>
    <t>win-office@uwaterloo.ca</t>
  </si>
  <si>
    <t>Making fundamental breakthroughs, discoveries, and innovations that will have both local and global impact for all Canadians.</t>
  </si>
  <si>
    <t>The Accelerator Centre</t>
  </si>
  <si>
    <t>295 Hagey Blvd, Waterloo, ON N2L 6R5</t>
  </si>
  <si>
    <t>Startup acceleration, mentorship</t>
  </si>
  <si>
    <t>https://www.acceleratorcentre.com/</t>
  </si>
  <si>
    <t>info@acceleratorcentre.com</t>
  </si>
  <si>
    <t>519-342-2400</t>
  </si>
  <si>
    <t>Supports startups, provides mentorships, access to capital, networks, and platforms.</t>
  </si>
  <si>
    <t>Perimeter Institute for Theoretical Physics</t>
  </si>
  <si>
    <t>31 Caroline St N, Waterloo, ON N2L 2Y5</t>
  </si>
  <si>
    <t>Physics, research, innovation</t>
  </si>
  <si>
    <t>https://www.perimeterinstitute.ca/</t>
  </si>
  <si>
    <t>519-569-7600</t>
  </si>
  <si>
    <t>Leading centre for research, training, and outreach in theoretical physics.</t>
  </si>
  <si>
    <t>David Johnston Research &amp; Technology Park</t>
  </si>
  <si>
    <t>200 University Ave W, GSC229, Waterloo, ON N2L 3G1</t>
  </si>
  <si>
    <t>Technology, Engineering, Startups</t>
  </si>
  <si>
    <t>https://rtpark.uwaterloo.ca/</t>
  </si>
  <si>
    <t>jenn.dawe@uwaterloo.ca</t>
  </si>
  <si>
    <t>519-497-9178</t>
  </si>
  <si>
    <t>Jennifer Dawe, Manager</t>
  </si>
  <si>
    <t>Committed to fostering the creation of cutting-edge technology by helping companies innovate, access talent, and tap into a world-class ecosystem of startups.</t>
  </si>
  <si>
    <t>Quantum Valley Ideas Lab</t>
  </si>
  <si>
    <t>Research Advancement Centre II, 485 Wes Graham Way, Waterloo, ON N2L 0A7</t>
  </si>
  <si>
    <t>Quantum computing, research</t>
  </si>
  <si>
    <t>https://qvideaslab.ca/</t>
  </si>
  <si>
    <t>info@qvil.ca</t>
  </si>
  <si>
    <t>519-589-6327</t>
  </si>
  <si>
    <t>Independent research laboratory in Waterloo, Ontario, with a mission to accelerate the commercialization of quantum technology for the economic and societal benefit of Canada.</t>
  </si>
  <si>
    <t>Invest WindsorEssex</t>
  </si>
  <si>
    <t>Windsor, ON</t>
  </si>
  <si>
    <t>119 Chatham St. W., Windsor, ON N9A 5M7</t>
  </si>
  <si>
    <t>Business attraction, mobility innovation, site selection</t>
  </si>
  <si>
    <t>https://www.investwindsoressex.com/</t>
  </si>
  <si>
    <t>info@InvestWindsorEssex.com</t>
  </si>
  <si>
    <t>519-255-9987</t>
  </si>
  <si>
    <t>Not-for-profit organization suppoted by the City of Windsor and County of Essex, responsibile for advancing economic development to grow and sustain prosperity in the region.</t>
  </si>
  <si>
    <t>Small Business &amp; Entrepreneurship Centre</t>
  </si>
  <si>
    <t>Start-up services, workshops, grant navigation</t>
  </si>
  <si>
    <t>https://www.webusinesscentre.com/</t>
  </si>
  <si>
    <t>info@webusinesscentre.com</t>
  </si>
  <si>
    <t>519-253-6900</t>
  </si>
  <si>
    <t>A division of Invest WindsorEssex, in partnership with the Province of Ontario's Ministry of Economic Development, Job Creation and Trade.</t>
  </si>
  <si>
    <t>St. Clair College Centre for Applied Research and Innovation (CARI)</t>
  </si>
  <si>
    <t>2000 Talbot Rd W, Windsor, ON N9A 6S4</t>
  </si>
  <si>
    <t>Applied research, Innovation, Manufacturing, Tech</t>
  </si>
  <si>
    <t>https://www.stclairresearch.ca/</t>
  </si>
  <si>
    <t>kdhillon@stclaircollege.ca</t>
  </si>
  <si>
    <t>519-966-1656 x. 4182</t>
  </si>
  <si>
    <t>Dr. Karamjeet Dhillon, Director</t>
  </si>
  <si>
    <t>Partnership opportunities between organizations and students.</t>
  </si>
  <si>
    <t>Automotive Parts Manufacturers' Association (APMA)</t>
  </si>
  <si>
    <t>2285 Wyandotte Street West Suite 3006, Windsor, ON N9B 1K3</t>
  </si>
  <si>
    <t>Automotive manufacturing, innovation</t>
  </si>
  <si>
    <t>https://www.apma.ca/</t>
  </si>
  <si>
    <t>info@apma.ca</t>
  </si>
  <si>
    <t>Represents Canada's OEM supppliers to the global automotive sector, specializing in volume parts, tooling, automation, software, advanced materials, critical minerals, and EV battery technology.</t>
  </si>
  <si>
    <t>WEtech Alliance</t>
  </si>
  <si>
    <t>167 Ferry Street, Suite 204, Windsor ON N9A 0C5</t>
  </si>
  <si>
    <t>Technology, Innovation</t>
  </si>
  <si>
    <t>https://wetech-alliance.com/</t>
  </si>
  <si>
    <t>ypilon@wetech-alliance.com</t>
  </si>
  <si>
    <t>519-819-8254</t>
  </si>
  <si>
    <t>Yvonne Pilon, CEO</t>
  </si>
  <si>
    <t>Non-profit organization hat provides entrepreneurs and companies with business services, training, IP, and commercialization support, mentorship and strategic connections to help bring new ideas to market, scale to the next level and build a dynamic culture and a community of innovation.</t>
  </si>
  <si>
    <t>Windsor-Essex Regional Chamber of Commerce</t>
  </si>
  <si>
    <t>2565 Ouellette Ave. Suite 101, Windsor, ON N8X 1L9</t>
  </si>
  <si>
    <t>Local business, Economic development</t>
  </si>
  <si>
    <t>https://wechamber.org/</t>
  </si>
  <si>
    <t>mdumouchel@windsoressexchamber.org</t>
  </si>
  <si>
    <t>519-966-3696 x. 230</t>
  </si>
  <si>
    <t>Matthew Dumouchel, Director of Operations</t>
  </si>
  <si>
    <t>Offers resources, advocacy, and a powerful network to help your business grow and prosper.</t>
  </si>
  <si>
    <t>Hackforge</t>
  </si>
  <si>
    <t>300 Ouellette Ave Suite 210, Windsor, ON N9A 7B4</t>
  </si>
  <si>
    <t>Technology innovation, tech community</t>
  </si>
  <si>
    <t>https://www.hackf.org/</t>
  </si>
  <si>
    <t>info@hackf.org</t>
  </si>
  <si>
    <t>888-960-7641 x. 4</t>
  </si>
  <si>
    <t>Building community and capacity around technology in Windsor and Essex County.</t>
  </si>
  <si>
    <t>Workforce Windsor Essex</t>
  </si>
  <si>
    <t>3295 Quality Way, Suite 150, Windsor, ON N8T 3R9</t>
  </si>
  <si>
    <t>Workforce development, newsletters</t>
  </si>
  <si>
    <t>https://workforcewindsoressex.com/</t>
  </si>
  <si>
    <t>jfalconer@workforcewindsoressex.com</t>
  </si>
  <si>
    <t>226-674-3220</t>
  </si>
  <si>
    <t>Justin Falconer, CEO</t>
  </si>
  <si>
    <t>The WE Jobs Portal has tools to help you achieve your career goals.</t>
  </si>
  <si>
    <t>Automate Canada</t>
  </si>
  <si>
    <t>3475 Wheelton Dr., Windsor, Ontario N8W 0A6</t>
  </si>
  <si>
    <t>Networking opportunities, professional development, advocacy, resources, discounts</t>
  </si>
  <si>
    <t>https://www.automatecanada.com/</t>
  </si>
  <si>
    <t>info@automatecanada.ca</t>
  </si>
  <si>
    <t>519-817-6260</t>
  </si>
  <si>
    <t>Promote and develop the global exposure of the Canadian industrial automation industry.</t>
  </si>
  <si>
    <t>Canadian Association of Moldmakers (CAMM)</t>
  </si>
  <si>
    <t>Moldmaking, manufacturing</t>
  </si>
  <si>
    <t>https://www.camm.ca/</t>
  </si>
  <si>
    <t>519-818-8866</t>
  </si>
  <si>
    <t>Nicole Vlanich, Executive Director</t>
  </si>
  <si>
    <t>Promote, preserve, and protect the interests of Canadian mold makers.</t>
  </si>
  <si>
    <t>University of Windsor’s Centre for Automotive Research (CAR)</t>
  </si>
  <si>
    <t>401 Sunset Ave, Windsor, ON N9B 3P4</t>
  </si>
  <si>
    <t>Automotive research, Electric vehicles, Hybrid systems</t>
  </si>
  <si>
    <t>https://www.uwindsor.ca/engineering/research/422/centre-automotive-research-and-education</t>
  </si>
  <si>
    <t>pfrise@uwindsor.ca</t>
  </si>
  <si>
    <t>519-253-3000 x. 3888</t>
  </si>
  <si>
    <t>Dr. Peter Frise, Director</t>
  </si>
  <si>
    <t>Committed to conducting world-class research and educational initiatives that will enhance the Canadian automotive industry and its competitiveness in the global marketplace.</t>
  </si>
  <si>
    <t>University of Windsor’s Great Lakes Institute for Environmental Research (GLIER)</t>
  </si>
  <si>
    <t>2990 Riverside Dr W, WIndsor, ON N9C 4G3</t>
  </si>
  <si>
    <t>Environmental research, Sustainability, Green technologies</t>
  </si>
  <si>
    <t>https://www.uwindsor.ca/glier/</t>
  </si>
  <si>
    <t>Robert.Mckay@uwindsor.ca</t>
  </si>
  <si>
    <t>519-253-3000 x. 2797 or x. 2732</t>
  </si>
  <si>
    <t>Dr. Mike McKay, Director</t>
  </si>
  <si>
    <t>Addresses complex environmental problems that cross conventional disciplinary boundaries such as the effects of multiple environmental stressors on large lakes and their watersheds.</t>
  </si>
  <si>
    <t>University of Windsor’s Institute for Diagnostic Imaging Research (IDIR)</t>
  </si>
  <si>
    <t>688 University Ave W, Windsor, ON N9A 5R5</t>
  </si>
  <si>
    <t>Diagnostic imaging, Medical physics, Non-destructive testing</t>
  </si>
  <si>
    <t>https://www.uwindsor.ca/idir/</t>
  </si>
  <si>
    <t>beneteh@uwindsor.ca</t>
  </si>
  <si>
    <t>519-977-7400 x. 223</t>
  </si>
  <si>
    <t>Sarah Beneteau, Administrative Manager</t>
  </si>
  <si>
    <t>Conducts applied reseaerch, develops products, and handles product commercialization for a growing list of regional, national, and international clients.</t>
  </si>
  <si>
    <t>Ontario Tourism Innovation Lab</t>
  </si>
  <si>
    <t>Tourism Innovation Lab c/o Hackforge, 300 Ouellette Ave, Suite 210, Windsor, ON N9A 7B4</t>
  </si>
  <si>
    <t>Mentorship, incubation, micro-grants, tourism startup support, industry innovation</t>
  </si>
  <si>
    <t>https://www.tourisminnovation.ca/</t>
  </si>
  <si>
    <t>info@tourisminnovation.ca</t>
  </si>
  <si>
    <t>The Tourism Innovation Lab is a non-profit initiative created to find, foster and support new tourism ideas, experiences and partnerships, to cultivate and propel collaborations between the tourism and tech sectors, and to build a community of tourism innovators, idea makers and entrepreneurs in Canada. </t>
  </si>
  <si>
    <t>Windsor Essex Capital Angel Network (WECAN)</t>
  </si>
  <si>
    <t>Downtown Windsor Business Accelerator c/o Michelle Teno-Wachter, 966 Homedale Ave, Windsor, ON N8S 2T2</t>
  </si>
  <si>
    <t>General Tech, Medtech, Green Tech</t>
  </si>
  <si>
    <t>https://weangelnetwork.com/</t>
  </si>
  <si>
    <t>info@weangelnetwork.com; cam@weangelnetwork.com</t>
  </si>
  <si>
    <t>705-984-5337</t>
  </si>
  <si>
    <t>Cam Crowder, Interim Executive Director</t>
  </si>
  <si>
    <t>Seek to invest in companies in which they can take an active interest through mentorship, financial investment and as potential business advisory board members or potential board of director members.</t>
  </si>
  <si>
    <t>Invest Ontario</t>
  </si>
  <si>
    <t>250 Yonge Street, 35th floor, Toronto, ON M5B 2L7</t>
  </si>
  <si>
    <t>Economic development, business investment</t>
  </si>
  <si>
    <t>https://www.investontario.ca/</t>
  </si>
  <si>
    <t>info@InvestOntario.ca</t>
  </si>
  <si>
    <t>416-313-3469</t>
  </si>
  <si>
    <t>Ontario's dedicated investment attraction agency.</t>
  </si>
  <si>
    <t>Indigenous Innovation Initiative (Grand Challenges Canada)</t>
  </si>
  <si>
    <t>661 University Avenue, Toronto, ON M5G 1M1</t>
  </si>
  <si>
    <t>Funding, capacity-building, innovation for Indigenous-led startups.</t>
  </si>
  <si>
    <t>https://www.indigenousinnovate.org/</t>
  </si>
  <si>
    <t>info@indigenousinnovate.org</t>
  </si>
  <si>
    <t>437-228-3504</t>
  </si>
  <si>
    <t xml:space="preserve">Goal is to empower First Nation, Inuit and Métis innovators and communities to identify and solve their own challenges, transform lives and drive inclusive growth, wellbeing and cultural revitalization through innovation. </t>
  </si>
  <si>
    <t>Vector Institute Toronto</t>
  </si>
  <si>
    <t>108 College St, Toronto, ON M5G 0C6</t>
  </si>
  <si>
    <t>AI adoption, AI development</t>
  </si>
  <si>
    <t>https://vectorinstitute.ai</t>
  </si>
  <si>
    <t>info@vectorinstitute.ai</t>
  </si>
  <si>
    <t>Globally-renowned AI Institute that empowers researchers, businesses, and governments, to deveop and adopt AI responsibly.</t>
  </si>
  <si>
    <t>Ontario Centre of Innovation (OCI)</t>
  </si>
  <si>
    <t>325 Front St W Suite 300, Toronto, ON M5V 2Y1</t>
  </si>
  <si>
    <t>Technology development, R&amp;D, commercialization</t>
  </si>
  <si>
    <t>https://www.oc-innovation.ca</t>
  </si>
  <si>
    <t>apereira@oc-innovation.ca</t>
  </si>
  <si>
    <t>416-861-1092</t>
  </si>
  <si>
    <t>Alicia Pereira, Vice President Marketing &amp; Communications</t>
  </si>
  <si>
    <t>Brings industry, academic, and government partners together to invest in collaborative R&amp;D, technology development, and commercialization opportunities that generate the highest return on innovation for Ontarians.</t>
  </si>
  <si>
    <t>Advanced Manufacturing Supercluster (NGen)</t>
  </si>
  <si>
    <t>175 Longwood Rd S, Hamilton, ON L8P 0A1</t>
  </si>
  <si>
    <t>Funding, education, mentorship, development initiatives</t>
  </si>
  <si>
    <t>https://www.ngen.ca</t>
  </si>
  <si>
    <t>info@ngen.ca</t>
  </si>
  <si>
    <t>Industry-led, non-profit organization leading Canada's Global Innovation Cluster for Advanced Mnufacturing.</t>
  </si>
  <si>
    <t>Maple Leaf Angels (Toronto)</t>
  </si>
  <si>
    <t>47 Colborne St, Toronto, ON M5E 1P8</t>
  </si>
  <si>
    <t>Investments, fundings, support, early stage tech</t>
  </si>
  <si>
    <t>https://mapleleafangels.com/</t>
  </si>
  <si>
    <t>info@mapleleafangels.com</t>
  </si>
  <si>
    <t>416-646-6235</t>
  </si>
  <si>
    <t>Group of high net worth private individuals who invest in and supoprt seed and early stage technology companies.</t>
  </si>
  <si>
    <t>BDC Capital</t>
  </si>
  <si>
    <t>325 Devonshire Rd, Suite 330, Windsor, ON N8Y 2L3</t>
  </si>
  <si>
    <t>Venture capital, growth &amp; transition capital, growth equity partners</t>
  </si>
  <si>
    <t>https://www.bdc.ca/en/bdc-capital</t>
  </si>
  <si>
    <t>519-257-6811</t>
  </si>
  <si>
    <t>Offers innovative solutions, often with terms and conditions tailored to emet the unique needs of entrepreneurs and innovators looking to raise capital for their growth and transition projects.</t>
  </si>
  <si>
    <t>Mitacs</t>
  </si>
  <si>
    <t>100 College St, Toronto, ON M5S 1B4</t>
  </si>
  <si>
    <t>Connecting to talent, financial support, manaigng innovation, training opportunities</t>
  </si>
  <si>
    <t>https://www.mitacs.ca/</t>
  </si>
  <si>
    <t>bd@mitacs.ca</t>
  </si>
  <si>
    <t>Connects businesses and researchers. Provides resources needed to drive competitiveness and productivity in sectors such as digital technology, AI, energy, sustainable solutions, and advanced manufacturing.</t>
  </si>
  <si>
    <t>Rise</t>
  </si>
  <si>
    <t>2 Carlton Street, Suite 1806, Toronto, ON M5B 1J3</t>
  </si>
  <si>
    <t>Various entrepreneurship programs, mentorship low-interest loans, free training programs</t>
  </si>
  <si>
    <t>https://www.risehelps.ca/</t>
  </si>
  <si>
    <t>toronto@risehelps.ca</t>
  </si>
  <si>
    <t>647-232-7473</t>
  </si>
  <si>
    <t>National organization dedicated to empowering people with mental health and addiciton challenges to achieve greater social and economic inclusion through entrepreneurship.</t>
  </si>
  <si>
    <t>Google Developer Group - Windsor</t>
  </si>
  <si>
    <t>Workshops, tech talks, conferences.</t>
  </si>
  <si>
    <t>https://gdg.community.dev/gdg-windsor/</t>
  </si>
  <si>
    <t>viviantangers@gmail.com</t>
  </si>
  <si>
    <t>Vivian Tang, Google Community Organizer</t>
  </si>
  <si>
    <t>Local community hub of professional developers who share expertise and passion for Google's developer technology.</t>
  </si>
  <si>
    <t>AngelOne Investor Network</t>
  </si>
  <si>
    <t>801-5500 North Service Road, Burlington, ON L7L 6W6</t>
  </si>
  <si>
    <t>Early-Stage Startups, Tech Commercialization</t>
  </si>
  <si>
    <t>https://www.angelonenetwork.ca/</t>
  </si>
  <si>
    <t>hello@angelonenetwork.ca</t>
  </si>
  <si>
    <t>Connects angel investors with startups. Member based, not-for-profit organization. Serves Toronto, Mississauga, Oakville, Burlington, Hamilton, and surrounding areas.</t>
  </si>
  <si>
    <t>Non-profit Mentorship</t>
  </si>
  <si>
    <t>Ann Arbor Area | SCORE</t>
  </si>
  <si>
    <t>UM Innovation Partnerships</t>
  </si>
  <si>
    <t>1600 Huron Pkwy, Ann Arbor, MI 48109</t>
  </si>
  <si>
    <t>Educational Institution</t>
  </si>
  <si>
    <t>Innovation, Research commercialization, Startups</t>
  </si>
  <si>
    <t>Home - UM - Innovation Partnerships</t>
  </si>
  <si>
    <t>University of Michigan Innovation Partnerships</t>
  </si>
  <si>
    <t>Tech Transfer Office</t>
  </si>
  <si>
    <t>Commercialization, Licensing</t>
  </si>
  <si>
    <t>https://innovationpartnerships.umich.edu</t>
  </si>
  <si>
    <t>University IP focus</t>
  </si>
  <si>
    <t>arboretumvc.com</t>
  </si>
  <si>
    <t>Life Sciences Institute</t>
  </si>
  <si>
    <t>Mobility, Autonomous vehicles, Smart cities</t>
  </si>
  <si>
    <t>mcity.umich.edu</t>
  </si>
  <si>
    <t>Ecosystem</t>
  </si>
  <si>
    <t>Advanced manufacturing, innovation</t>
  </si>
  <si>
    <t>ncms.org</t>
  </si>
  <si>
    <t>Advanced manufacturing, robotics</t>
  </si>
  <si>
    <t>Funding</t>
  </si>
  <si>
    <t>Venture funding, startups</t>
  </si>
  <si>
    <t>michiganrise.org</t>
  </si>
  <si>
    <t>Early-stage venture capital</t>
  </si>
  <si>
    <t>Economic Development Agency</t>
  </si>
  <si>
    <t>Amherst Fund | Home</t>
  </si>
  <si>
    <t>Research</t>
  </si>
  <si>
    <t>TSRL, Inc. | Prodrug &amp; Infectious Disease | Preclinical Accelerator</t>
  </si>
  <si>
    <t>Biotechnology, medical research</t>
  </si>
  <si>
    <t>Acceleration</t>
  </si>
  <si>
    <t>Startup acceleration, entrepreneurship</t>
  </si>
  <si>
    <t>Desai Accelerator - Business Accelerator for Tech Startups</t>
  </si>
  <si>
    <t>Business mentorship</t>
  </si>
  <si>
    <t>Network services, education, research</t>
  </si>
  <si>
    <t>merit.edu</t>
  </si>
  <si>
    <t>Education, research</t>
  </si>
  <si>
    <t>birminghamangels.org</t>
  </si>
  <si>
    <t>Seed, Angel</t>
  </si>
  <si>
    <t>Investing in Our Future - Michigan Venture Capital Association</t>
  </si>
  <si>
    <t>Investment, startups</t>
  </si>
  <si>
    <t>Angel One Investor Network</t>
  </si>
  <si>
    <t>protoaccelerator.com</t>
  </si>
  <si>
    <t>Business acceleration</t>
  </si>
  <si>
    <t>Economic development, business attraction</t>
  </si>
  <si>
    <t>detroitregionalpartnership.com</t>
  </si>
  <si>
    <t>Manufacturing innovation, tech advancement</t>
  </si>
  <si>
    <t>Home - LIFT</t>
  </si>
  <si>
    <t>Industry 4.0, tech innovation</t>
  </si>
  <si>
    <t>Startup acceleration, venture funding</t>
  </si>
  <si>
    <t>Techstars Accelerators</t>
  </si>
  <si>
    <t>Venture funding</t>
  </si>
  <si>
    <t>urbantechxchange.com</t>
  </si>
  <si>
    <t>Mobility, tech startups</t>
  </si>
  <si>
    <t>Rockbridge Growth Equity - Detroit-based Private Equity Firm</t>
  </si>
  <si>
    <t>Series B, Growth</t>
  </si>
  <si>
    <t>Non-profit</t>
  </si>
  <si>
    <t>500.co</t>
  </si>
  <si>
    <t>Venture funding, marketing</t>
  </si>
  <si>
    <t>Smart parking technology</t>
  </si>
  <si>
    <t>detroitsmartparkinglab.org</t>
  </si>
  <si>
    <t>Smart cities, urban transportation</t>
  </si>
  <si>
    <t>detroitmi.gov</t>
  </si>
  <si>
    <t>Urban development, tourism</t>
  </si>
  <si>
    <t>newlab.com</t>
  </si>
  <si>
    <t>Manufacturing, digital innovation</t>
  </si>
  <si>
    <t>globaldetroitmi.org</t>
  </si>
  <si>
    <t>Immigrant entrepreneurship</t>
  </si>
  <si>
    <t>detroit.umich.edu</t>
  </si>
  <si>
    <t>Michigan Office of Future Mobility &amp; Electrification</t>
  </si>
  <si>
    <t>Office of Future Mobility and Electrification | Michigan Business</t>
  </si>
  <si>
    <t>Electric vehicles, mobility</t>
  </si>
  <si>
    <t>Provides grants and resources to support inclusive economic growth and entrepreneurship in Detroit.</t>
  </si>
  <si>
    <t>neweconomyinitiative.org</t>
  </si>
  <si>
    <t>Seed, Growth</t>
  </si>
  <si>
    <t>Wayne State University</t>
  </si>
  <si>
    <t>42 W Warren Ave, Detroit, MI 48202</t>
  </si>
  <si>
    <t>wayne.edu</t>
  </si>
  <si>
    <t>Nanotechnology research</t>
  </si>
  <si>
    <t>idventures.com</t>
  </si>
  <si>
    <t>Seed, Series A</t>
  </si>
  <si>
    <t>Community Organization</t>
  </si>
  <si>
    <t>Training, mentorship, microloans for underserved founders</t>
  </si>
  <si>
    <t>techtowndetroit.org</t>
  </si>
  <si>
    <t>Tech startups, business incubation</t>
  </si>
  <si>
    <t>440 Burroughs Street, Suite 518, Detroit, MI 48202</t>
  </si>
  <si>
    <t>Ideation</t>
  </si>
  <si>
    <t>Science Research Organization | Ecotek Lab</t>
  </si>
  <si>
    <t>Clean tech, sustainability</t>
  </si>
  <si>
    <t>Detroit Means Business</t>
  </si>
  <si>
    <t>Public-Private Partnership</t>
  </si>
  <si>
    <t>Small business funding, mentorship, access to City services</t>
  </si>
  <si>
    <t>https://www.detroitmeansbusiness.org/</t>
  </si>
  <si>
    <t>Detroit Economic Growth Corp (DEGC)</t>
  </si>
  <si>
    <t>500 Griswold St, Detroit, MI 48226</t>
  </si>
  <si>
    <t>Economic development, business expansion</t>
  </si>
  <si>
    <t>degc.org</t>
  </si>
  <si>
    <t>Urban renewal, manufacturing</t>
  </si>
  <si>
    <t>Venture capital, urban redevelopment</t>
  </si>
  <si>
    <t>Homepage - Invest Detroit Invest Detroit</t>
  </si>
  <si>
    <t>Venture capital, economic development</t>
  </si>
  <si>
    <t>100kideas.org</t>
  </si>
  <si>
    <t>Idea validation, tech startups</t>
  </si>
  <si>
    <t>Economic growth, advocacy, leadership</t>
  </si>
  <si>
    <t>detroitchamber.com</t>
  </si>
  <si>
    <t>Regional collaboration, advocacy</t>
  </si>
  <si>
    <t>Tech innovation, entrepreneurship</t>
  </si>
  <si>
    <t>Innovate Michigan - MichAuto</t>
  </si>
  <si>
    <t>Economic development</t>
  </si>
  <si>
    <t>Automotive, mobility innovation</t>
  </si>
  <si>
    <t>michauto.org</t>
  </si>
  <si>
    <t>Automotive, workforce development</t>
  </si>
  <si>
    <t>fontinalis.com</t>
  </si>
  <si>
    <t>Series A, Growth, Mobility Focus</t>
  </si>
  <si>
    <t>Wayne State Tech Commercialization</t>
  </si>
  <si>
    <t>techtransfer.wayne.edu</t>
  </si>
  <si>
    <t>Distributed systems research</t>
  </si>
  <si>
    <t>Parker Dewey Microinternships</t>
  </si>
  <si>
    <t>Internships, workforce development</t>
  </si>
  <si>
    <t>parkerdewey.com</t>
  </si>
  <si>
    <t>Workforce development</t>
  </si>
  <si>
    <t>Red Cedar Ventures</t>
  </si>
  <si>
    <t>Red Cedar Ventures (MSU) - Michigan Venture Capital Association</t>
  </si>
  <si>
    <t>Research commercialization, startup support</t>
  </si>
  <si>
    <t>MSU Research Foundation – Discover. Innovate. Connect.</t>
  </si>
  <si>
    <t>Research commercialization</t>
  </si>
  <si>
    <t>University Incubator</t>
  </si>
  <si>
    <t>https://innovationcenter.msu.edu</t>
  </si>
  <si>
    <t>Research-based startups</t>
  </si>
  <si>
    <t>Tech incubator</t>
  </si>
  <si>
    <t>Home | Turfgrass Information Center</t>
  </si>
  <si>
    <t>Supports MSU and community startups</t>
  </si>
  <si>
    <t>Consumer, Digital Media, Healthcare</t>
  </si>
  <si>
    <t>beringea.com</t>
  </si>
  <si>
    <t>Series A, Series B, Growth</t>
  </si>
  <si>
    <t>Tech startups, creative industries</t>
  </si>
  <si>
    <t>ferriswheelflint.com</t>
  </si>
  <si>
    <t>Creative industries</t>
  </si>
  <si>
    <t>Economic development, business growth</t>
  </si>
  <si>
    <t>Lansing Economic Area Partnership - LEAP - Lansing, Michigan Economic Development</t>
  </si>
  <si>
    <t>Regional growth</t>
  </si>
  <si>
    <t>Business Association</t>
  </si>
  <si>
    <t>Advocacy, small biz resources, networking</t>
  </si>
  <si>
    <t>Government Agency</t>
  </si>
  <si>
    <t>MEDC (Michigan Economic Development Corp.)</t>
  </si>
  <si>
    <t>Economic development, business incentives</t>
  </si>
  <si>
    <t>michiganbusiness.org</t>
  </si>
  <si>
    <t>Economic development, startup support</t>
  </si>
  <si>
    <t>Business chamber</t>
  </si>
  <si>
    <t>Home - Lansing Regional Chamber of Commerce</t>
  </si>
  <si>
    <t>Supports Lansing-area businesses</t>
  </si>
  <si>
    <t>MI 49931</t>
  </si>
  <si>
    <t>Michigan Translational Research &amp; Commercialization (MTRAC) | Research | Michigan Tech</t>
  </si>
  <si>
    <t>Tech commercialization</t>
  </si>
  <si>
    <t>innovationworks.com</t>
  </si>
  <si>
    <t>Robotics, technology</t>
  </si>
  <si>
    <t>419 Golf View Ln, Rochester, MI 48309, United States</t>
  </si>
  <si>
    <t>Business incubation, technology</t>
  </si>
  <si>
    <t>Homepage - OU Inc - Oakland University</t>
  </si>
  <si>
    <t>Engineering, innovation</t>
  </si>
  <si>
    <t>Technology, innovation, space for startups</t>
  </si>
  <si>
    <t>Centrepolis Accelerator | Home</t>
  </si>
  <si>
    <t>Digital innovation, research</t>
  </si>
  <si>
    <t>Centrepolis Accelerator</t>
  </si>
  <si>
    <t>21415 Civic Center Dr, Southfield, MI 48076</t>
  </si>
  <si>
    <t>Hardware/Manufacturing accelerator</t>
  </si>
  <si>
    <t>Prototyping, funding access, industry partnerships</t>
  </si>
  <si>
    <t>Located at Lawrence Tech</t>
  </si>
  <si>
    <t>Automation, tech innovation, business growth</t>
  </si>
  <si>
    <t>automationalley.com</t>
  </si>
  <si>
    <t>AI, cybersecurity</t>
  </si>
  <si>
    <t>Michigan SBDC</t>
  </si>
  <si>
    <t>Various locations, MI</t>
  </si>
  <si>
    <t>sbdcmichigan.org</t>
  </si>
  <si>
    <t>Small business support</t>
  </si>
  <si>
    <t>assemblyventures.com</t>
  </si>
  <si>
    <t>augmentventures.com</t>
  </si>
  <si>
    <t>Scaling</t>
  </si>
  <si>
    <t>businessleadersformichigan.com</t>
  </si>
  <si>
    <t>Public policy, business leadership</t>
  </si>
  <si>
    <t>Home | DVP</t>
  </si>
  <si>
    <t>Venture capital</t>
  </si>
  <si>
    <t>Homepage - GEM</t>
  </si>
  <si>
    <t>Autonomous vehicles, electric vehicles</t>
  </si>
  <si>
    <t>Small business growth, education</t>
  </si>
  <si>
    <t>Financial support, entrepreneurship</t>
  </si>
  <si>
    <t>ludlowventures.com</t>
  </si>
  <si>
    <t>mercuryfund.com</t>
  </si>
  <si>
    <t>Seed, Series A, Series B, Growth</t>
  </si>
  <si>
    <t>michigancapitalnetwork.com</t>
  </si>
  <si>
    <t>Non-profit Network</t>
  </si>
  <si>
    <t>Business innovation, culture</t>
  </si>
  <si>
    <t>Business support network</t>
  </si>
  <si>
    <t>Mentorship, funding access, training</t>
  </si>
  <si>
    <t>LEO - MI Small Business</t>
  </si>
  <si>
    <t>27 hubs statewide</t>
  </si>
  <si>
    <t>Small Business Centre</t>
  </si>
  <si>
    <t>Workshops, one-on-one help, resources</t>
  </si>
  <si>
    <t>City of Brampton | Brampton Entrepreneur Centre | Brampton Entrepreneur Centre</t>
  </si>
  <si>
    <t>City-run</t>
  </si>
  <si>
    <t>6 George Street South, Brampton, ON</t>
  </si>
  <si>
    <t>Innovation Centre</t>
  </si>
  <si>
    <t>Altitude Accelerator - Elevate, Innovate, Accelerate - Altitude Accelerator</t>
  </si>
  <si>
    <t>Supports Peel Region</t>
  </si>
  <si>
    <t>Catalyst Cyber Accelerator (Rogers Cybersecure Catalyst, Toronto Metropolitan University)</t>
  </si>
  <si>
    <t>Cybersecurity Accelerator</t>
  </si>
  <si>
    <t>Startup incubation, acceleration, mentorship, cybersecurity training</t>
  </si>
  <si>
    <t>Rogers Cybersecure Catalyst</t>
  </si>
  <si>
    <t>Business Resource Centre - City of Brantford</t>
  </si>
  <si>
    <t>Local entrepreneurship</t>
  </si>
  <si>
    <t>LaunchPad Brantford | Entrepreneurship and Social Innovation | Students - Wilfrid Laurier University</t>
  </si>
  <si>
    <t>Supports Brantford &amp; Waterloo campuses</t>
  </si>
  <si>
    <t>5500 North Service Rd, Burlington, ON</t>
  </si>
  <si>
    <t>Coworking + Incubator</t>
  </si>
  <si>
    <t>Welcome to TechPlace | Tech Place</t>
  </si>
  <si>
    <t>Linked to Burlington Economic Dev</t>
  </si>
  <si>
    <t>ctma.com</t>
  </si>
  <si>
    <t>Tooling, engineering</t>
  </si>
  <si>
    <t>Municipal Economic Development</t>
  </si>
  <si>
    <t>Economic Development and the Small Business Centre</t>
  </si>
  <si>
    <t>Municipal EDO for Chatham-Kent</t>
  </si>
  <si>
    <t>Small Business Support</t>
  </si>
  <si>
    <t>Small Business Centre | Locations</t>
  </si>
  <si>
    <t>Supports early-stage entrepreneurs</t>
  </si>
  <si>
    <t>Startup Support / Innovation Hub</t>
  </si>
  <si>
    <t>Soar Innovation | Accelerator, Incubator</t>
  </si>
  <si>
    <t>Focus on innovation and scale-ups</t>
  </si>
  <si>
    <t>CFDC (Community Futures Development Corporation)</t>
  </si>
  <si>
    <t>Business development, support for SMEs</t>
  </si>
  <si>
    <t>Community Futures Essex County</t>
  </si>
  <si>
    <t>Rural development</t>
  </si>
  <si>
    <t>Agri-tech accelerator</t>
  </si>
  <si>
    <t>Commercialization, funding access, mentoring</t>
  </si>
  <si>
    <t>Bioenterprise – Canada’s Food &amp; Agri-Tech Engine</t>
  </si>
  <si>
    <t>Focus on agriculture and food innovation</t>
  </si>
  <si>
    <t>uoguelph.ca</t>
  </si>
  <si>
    <t>Innovation Park at the University of Guelph</t>
  </si>
  <si>
    <t>51 Stone Rd E, Guelph, ON N1G 2W1</t>
  </si>
  <si>
    <t>50 Stone Road East, Guelph, Ontario, Canada N1G 2W1</t>
  </si>
  <si>
    <t>Innovation Alliance (University of Guelph &amp; OMAFRA)</t>
  </si>
  <si>
    <t>www.uoguelph.ca/alliance </t>
  </si>
  <si>
    <t>Accelerator</t>
  </si>
  <si>
    <t>Incubation, mentorship, industry access (life sciences, tech)</t>
  </si>
  <si>
    <t>The Forge | McMaster University</t>
  </si>
  <si>
    <t>Medical technology, innovation</t>
  </si>
  <si>
    <t>Home - Centre for Surgical Invention &amp; Innovation</t>
  </si>
  <si>
    <t>Medical technology</t>
  </si>
  <si>
    <t>Government Program</t>
  </si>
  <si>
    <t>Workshops, advisory, Starter Company Plus, licensing support</t>
  </si>
  <si>
    <t>Regional innovation centre</t>
  </si>
  <si>
    <t>Business advisory, investment readiness</t>
  </si>
  <si>
    <t>Launch Lab | Regional Innovation Centre</t>
  </si>
  <si>
    <t>Eastern Ontario focus</t>
  </si>
  <si>
    <t> R&amp;D services, bench-scale product development and custom synthesis for high-tech industries.</t>
  </si>
  <si>
    <t>Technology, innovation, startup ecosystem</t>
  </si>
  <si>
    <t>communitech.ca</t>
  </si>
  <si>
    <t>Digital industries, venture funding</t>
  </si>
  <si>
    <t>gtan.ca</t>
  </si>
  <si>
    <t>Velocity</t>
  </si>
  <si>
    <t>Tech startups, Innovation</t>
  </si>
  <si>
    <t>velocityincubator.ca</t>
  </si>
  <si>
    <t>High-tech startups</t>
  </si>
  <si>
    <t>Conestoga College</t>
  </si>
  <si>
    <t>299 Doon Valley Drive, Kitchener, ON N2G 4M4</t>
  </si>
  <si>
    <t>Educational Institution, Applied Research Centre</t>
  </si>
  <si>
    <t>www.conestogac.on.ca</t>
  </si>
  <si>
    <t>Technology Hub</t>
  </si>
  <si>
    <t>Medical device startup ecosystem support, scale-up mentorship.</t>
  </si>
  <si>
    <t>medicalinnovationxchange.com</t>
  </si>
  <si>
    <t>MIX is a network of like-minded, Canadian medical and health technology companies who share the same vision and purpose; to grow their business in their own backyard, support patients and clinicians with truly innovative solutions and pay-it-forward by helping other medtech companies grow and succeed</t>
  </si>
  <si>
    <t>Research and Commercialization Centre</t>
  </si>
  <si>
    <t>https://southsx.com/center-horticultural-innovation/</t>
  </si>
  <si>
    <t>College Incubator</t>
  </si>
  <si>
    <t>Leap Junction Entrepreneurial Services</t>
  </si>
  <si>
    <t>Fanshawe student-focused</t>
  </si>
  <si>
    <t>Morrissette Entrepreneurship</t>
  </si>
  <si>
    <t>Western’s main entrepreneurship hub</t>
  </si>
  <si>
    <t>Not-for-profit support</t>
  </si>
  <si>
    <t>pillarnonprofit.ca</t>
  </si>
  <si>
    <t>Technology innovation, business growth</t>
  </si>
  <si>
    <t>Home | TechAlliance of Southwestern Ontario</t>
  </si>
  <si>
    <t>Business development</t>
  </si>
  <si>
    <t>Business guidance, starter programs</t>
  </si>
  <si>
    <t>The Mississauga Innovation District - IDEA Mississauga</t>
  </si>
  <si>
    <t>NORCAT</t>
  </si>
  <si>
    <t>Innovation &amp; skills centre</t>
  </si>
  <si>
    <t>NORCAT - Skills Training for the Future</t>
  </si>
  <si>
    <t>Northern Ontario innovation hub</t>
  </si>
  <si>
    <t>ICUBE at UTM</t>
  </si>
  <si>
    <t>3359 Mississauga Rd, Mississauga, ON</t>
  </si>
  <si>
    <t>University incubator</t>
  </si>
  <si>
    <t>Entrepreneurship, mentoring, workshops</t>
  </si>
  <si>
    <t>Home of Entrepreneurship at UofT Mississauga - ICUBE UTM</t>
  </si>
  <si>
    <t>University of Toronto Mississauga</t>
  </si>
  <si>
    <t>VC and commercialisation</t>
  </si>
  <si>
    <t>www.foresightcac.com </t>
  </si>
  <si>
    <t>Incubator</t>
  </si>
  <si>
    <t>Home - Niagara Falls Innovation Hub</t>
  </si>
  <si>
    <t>Oakville, ON</t>
  </si>
  <si>
    <t>Social innovation, entrepreneurship</t>
  </si>
  <si>
    <t>EDGE – Where impact and entrepreneurship thrive.</t>
  </si>
  <si>
    <t>Sheridan College initiative</t>
  </si>
  <si>
    <t>Innovation accelerator, commercialization hub</t>
  </si>
  <si>
    <t>www.bincanada.ca </t>
  </si>
  <si>
    <t>University Innovation Centre</t>
  </si>
  <si>
    <t>Brock LINC</t>
  </si>
  <si>
    <t>Interdisciplinary entrepreneurship</t>
  </si>
  <si>
    <t>Regional Innovation Centre</t>
  </si>
  <si>
    <t>Tech startups, commercialization</t>
  </si>
  <si>
    <t>Welcome To Innovate Niagara | Start Growing your Innovative Business in Niagara today</t>
  </si>
  <si>
    <t>Niagara-wide services</t>
  </si>
  <si>
    <t>University Accelerator</t>
  </si>
  <si>
    <t>Early-stage deep tech &amp; research startups</t>
  </si>
  <si>
    <t>University of Toronto Early Stage Technology (UTEST)</t>
  </si>
  <si>
    <t>Partnership with MaRS</t>
  </si>
  <si>
    <t>College Centre</t>
  </si>
  <si>
    <t>Longo CFE - Humber Polytechnic</t>
  </si>
  <si>
    <t>Humber College entrepreneurship</t>
  </si>
  <si>
    <t>Social Innovation Incubator</t>
  </si>
  <si>
    <t>Social entrepreneurship, mentorship, funding</t>
  </si>
  <si>
    <t>Social Ventures Zone - Toronto Metropolitan University (TMU)</t>
  </si>
  <si>
    <t>Supports purpose-driven startups</t>
  </si>
  <si>
    <t>Non-profit Advocacy</t>
  </si>
  <si>
    <t>Support for 85+ BIAs, marketing, policy advocacy</t>
  </si>
  <si>
    <t>Accelerator / Innovation Hub</t>
  </si>
  <si>
    <t>Startups, HealthTech, Cleantech, Funding</t>
  </si>
  <si>
    <t>https://marsdd.com</t>
  </si>
  <si>
    <t>National reach</t>
  </si>
  <si>
    <t>MaRS Health (part of MaRS Discovery District)</t>
  </si>
  <si>
    <t>//marsdd.com/health</t>
  </si>
  <si>
    <t>Entrepreneurship Nonprofit</t>
  </si>
  <si>
    <t>Investment Attraction</t>
  </si>
  <si>
    <t>FDI support, Site Selection</t>
  </si>
  <si>
    <t>https://torontoglobal.ca</t>
  </si>
  <si>
    <t>International investors</t>
  </si>
  <si>
    <t>Ontario Centres for Innovation (OCI)</t>
  </si>
  <si>
    <t>325 Front Street West, Suite 300, Toronto, Ontario M5V 2Y1</t>
  </si>
  <si>
    <t>innovation.ca</t>
  </si>
  <si>
    <t>Cleantech, business incubation</t>
  </si>
  <si>
    <t>Startup Incubator</t>
  </si>
  <si>
    <t>Startup acceleration, funding access, mentorship</t>
  </si>
  <si>
    <t>Top global incubator</t>
  </si>
  <si>
    <t>Cybersecurity, SaaS, AI</t>
  </si>
  <si>
    <t>cybernorthventures.com</t>
  </si>
  <si>
    <t>University innovation hub</t>
  </si>
  <si>
    <t>Community Innovation &amp; Partnerships | Research &amp; Innovation</t>
  </si>
  <si>
    <t>Supports ventures at York University</t>
  </si>
  <si>
    <t>Social enterprise incubation, coworking, innovation community-building.</t>
  </si>
  <si>
    <t>socialinnovation.org</t>
  </si>
  <si>
    <t>At CSI, we define social innovation as the creation, development, adoption, and integration of new and renewed concepts, systems, organizations and practices that put people and planet first.</t>
  </si>
  <si>
    <t>Venture acceleration for science-based startups</t>
  </si>
  <si>
    <t>Business advocacy</t>
  </si>
  <si>
    <t>Policy, member support, promotion</t>
  </si>
  <si>
    <t>Indispensable Partner of Business: Ontario Chamber of Commerce</t>
  </si>
  <si>
    <t>Provincial business representation</t>
  </si>
  <si>
    <t>ccab.com</t>
  </si>
  <si>
    <t>www.vinelandresearch.com </t>
  </si>
  <si>
    <t>Vineland is recognized as Canada’s leader in horticulture research and innovation</t>
  </si>
  <si>
    <t>Institute for Quantum Computing (IQC)</t>
  </si>
  <si>
    <t>Welcome to the Institute for Quantum Computing | Institute for Quantum Computing | University of Waterloo</t>
  </si>
  <si>
    <t>Microelectronics Heat Transfer Laboratory (MHTL)</t>
  </si>
  <si>
    <t>Welcome to Microelectronics Heat Transfer Laboratory | Microelectronics Heat Transfer Laboratory | University of Waterloo</t>
  </si>
  <si>
    <t>wasl.uwaterloo.ca</t>
  </si>
  <si>
    <t>Technology transfer</t>
  </si>
  <si>
    <t>uwaterloo.ca/waterloo-advanced-technology-laboratory</t>
  </si>
  <si>
    <t>Environmental sustainability</t>
  </si>
  <si>
    <t>uwaterloo.ca/institute-nanotechnology</t>
  </si>
  <si>
    <t>Medical imaging research</t>
  </si>
  <si>
    <t>Mike &amp; Ophelia Lazaridis Quantum-Nano Centre (QNC)</t>
  </si>
  <si>
    <t>Quantum science, nano research</t>
  </si>
  <si>
    <t>Quantum computing, nanotechnology</t>
  </si>
  <si>
    <t>acceleratorcentre.com</t>
  </si>
  <si>
    <t>Tech startups</t>
  </si>
  <si>
    <t>perimeterinstitute.ca</t>
  </si>
  <si>
    <t>Theoretical physics, quantum research</t>
  </si>
  <si>
    <t>340 Hagey Blvd, Waterloo, ON N2L 6R6</t>
  </si>
  <si>
    <t>Home - David Johnston Research + Technology Park</t>
  </si>
  <si>
    <t>Home - Quantum Valley Ideas Lab</t>
  </si>
  <si>
    <t>Quantum computing</t>
  </si>
  <si>
    <t>St. Clair College Research &amp; Innovation – Excellence Through Innovation</t>
  </si>
  <si>
    <t>APMA</t>
  </si>
  <si>
    <t>apma.ca</t>
  </si>
  <si>
    <t>Automotive, mobility</t>
  </si>
  <si>
    <t>2455 Wyandotte Street West, 2nd Floor, Windsor, ON N9B 0C1</t>
  </si>
  <si>
    <t>wetech-alliance.com</t>
  </si>
  <si>
    <t>Technology, innovation</t>
  </si>
  <si>
    <t>Windsor-Essex Regional Chamber of Commerce (WERC)</t>
  </si>
  <si>
    <t>wechamber.org</t>
  </si>
  <si>
    <t>Networking, local businesses</t>
  </si>
  <si>
    <t>Windsor Hackforge – A Home for Windsor’s Tech Community</t>
  </si>
  <si>
    <t>Digital innovation, coding</t>
  </si>
  <si>
    <t>Workforce Development</t>
  </si>
  <si>
    <t>workforcewindsoressex.com</t>
  </si>
  <si>
    <t>Robotics, automation technology</t>
  </si>
  <si>
    <t>automatecanada.com</t>
  </si>
  <si>
    <t>Robotics, Industry 4.0</t>
  </si>
  <si>
    <t>camm.ca</t>
  </si>
  <si>
    <t>Moldmaking, precision engineering</t>
  </si>
  <si>
    <t>Centre for Automotive Research and Education | Engineering Research</t>
  </si>
  <si>
    <t>Advanced tech, Quantum computing</t>
  </si>
  <si>
    <t>University of Windsor’s Centre for Environmental Research (CER)</t>
  </si>
  <si>
    <t>Great Lakes Institute for Environmental Research</t>
  </si>
  <si>
    <t>Biotechnology, Health tech</t>
  </si>
  <si>
    <t>University of Windsor’s Centre for Research in Engineering and Advanced Technology (CREAT)</t>
  </si>
  <si>
    <t>Engineering research, Advanced technology, Innovation</t>
  </si>
  <si>
    <t>uwindsor.ca/engineering/research</t>
  </si>
  <si>
    <t>Microelectronics, Engineering tech</t>
  </si>
  <si>
    <t>Institute for Diagnostic Imaging Research</t>
  </si>
  <si>
    <t>Manufacturing, Applied Research</t>
  </si>
  <si>
    <t>Tourism Innovation and Accelerator Lab</t>
  </si>
  <si>
    <t>www.tourisminnovation.ca </t>
  </si>
  <si>
    <t>weangelnetwork.com</t>
  </si>
  <si>
    <t>investontario.ca</t>
  </si>
  <si>
    <t>Business expansion, venture funding</t>
  </si>
  <si>
    <t>Social Enterprise Ontario</t>
  </si>
  <si>
    <t>Directory / Network</t>
  </si>
  <si>
    <t>Mapping and promoting 1000+ social enterprises</t>
  </si>
  <si>
    <t>Welcome to SEontario</t>
  </si>
  <si>
    <t>Innovate and scale</t>
  </si>
  <si>
    <t xml:space="preserve"> indigenousinnovate.org</t>
  </si>
</sst>
</file>

<file path=xl/styles.xml><?xml version="1.0" encoding="utf-8"?>
<styleSheet xmlns="http://schemas.openxmlformats.org/spreadsheetml/2006/main" xmlns:x14ac="http://schemas.microsoft.com/office/spreadsheetml/2009/9/ac" xmlns:mc="http://schemas.openxmlformats.org/markup-compatibility/2006">
  <fonts count="22">
    <font>
      <sz val="11.0"/>
      <color theme="1"/>
      <name val="Calibri"/>
      <scheme val="minor"/>
    </font>
    <font>
      <b/>
      <sz val="11.0"/>
      <color theme="1"/>
      <name val="Calibri"/>
    </font>
    <font>
      <b/>
      <sz val="11.0"/>
      <color rgb="FF000000"/>
      <name val="Calibri"/>
    </font>
    <font>
      <color theme="1"/>
      <name val="Calibri"/>
      <scheme val="minor"/>
    </font>
    <font>
      <sz val="11.0"/>
      <color theme="1"/>
      <name val="Calibri"/>
    </font>
    <font>
      <u/>
      <sz val="11.0"/>
      <color theme="10"/>
      <name val="Calibri"/>
    </font>
    <font>
      <sz val="11.0"/>
      <color rgb="FF000000"/>
      <name val="Calibri"/>
    </font>
    <font>
      <u/>
      <sz val="11.0"/>
      <color rgb="FF000000"/>
      <name val="Calibri"/>
    </font>
    <font>
      <u/>
      <sz val="11.0"/>
      <color theme="10"/>
      <name val="Calibri"/>
    </font>
    <font>
      <i/>
      <sz val="11.0"/>
      <color rgb="FF000000"/>
      <name val="Calibri"/>
    </font>
    <font>
      <u/>
      <sz val="11.0"/>
      <color rgb="FF000000"/>
      <name val="Calibri"/>
    </font>
    <font>
      <u/>
      <sz val="11.0"/>
      <color rgb="FF000000"/>
      <name val="Calibri"/>
    </font>
    <font>
      <sz val="11.0"/>
      <color rgb="FF242424"/>
      <name val="Aptos Narrow"/>
    </font>
    <font>
      <u/>
      <sz val="11.0"/>
      <color theme="10"/>
      <name val="Calibri"/>
    </font>
    <font>
      <u/>
      <sz val="11.0"/>
      <color rgb="FF000000"/>
      <name val="Calibri"/>
    </font>
    <font>
      <u/>
      <sz val="11.0"/>
      <color theme="1"/>
      <name val="Calibri"/>
    </font>
    <font>
      <u/>
      <sz val="11.0"/>
      <color theme="10"/>
      <name val="Calibri"/>
    </font>
    <font>
      <sz val="11.0"/>
      <color rgb="FF242424"/>
      <name val="Arial"/>
    </font>
    <font>
      <u/>
      <color rgb="FF0000FF"/>
    </font>
    <font>
      <u/>
      <sz val="11.0"/>
      <color theme="1"/>
      <name val="Calibri"/>
    </font>
    <font>
      <u/>
      <sz val="11.0"/>
      <color theme="1"/>
      <name val="Calibri"/>
    </font>
    <font>
      <u/>
      <sz val="11.0"/>
      <color theme="1"/>
      <name val="Calibri"/>
    </font>
  </fonts>
  <fills count="7">
    <fill>
      <patternFill patternType="none"/>
    </fill>
    <fill>
      <patternFill patternType="lightGray"/>
    </fill>
    <fill>
      <patternFill patternType="solid">
        <fgColor theme="0"/>
        <bgColor theme="0"/>
      </patternFill>
    </fill>
    <fill>
      <patternFill patternType="solid">
        <fgColor rgb="FFFFFF00"/>
        <bgColor rgb="FFFFFF00"/>
      </patternFill>
    </fill>
    <fill>
      <patternFill patternType="solid">
        <fgColor rgb="FFDBE5F1"/>
        <bgColor rgb="FFDBE5F1"/>
      </patternFill>
    </fill>
    <fill>
      <patternFill patternType="solid">
        <fgColor rgb="FFFFFFFF"/>
        <bgColor rgb="FFFFFFFF"/>
      </patternFill>
    </fill>
    <fill>
      <patternFill patternType="solid">
        <fgColor rgb="FFFF0000"/>
        <bgColor rgb="FFFF0000"/>
      </patternFill>
    </fill>
  </fills>
  <borders count="4">
    <border/>
    <border>
      <left style="thin">
        <color rgb="FF000000"/>
      </left>
      <right style="thin">
        <color rgb="FF000000"/>
      </right>
      <top style="thin">
        <color rgb="FF000000"/>
      </top>
      <bottom style="thin">
        <color rgb="FF000000"/>
      </bottom>
    </border>
    <border>
      <left style="thin">
        <color rgb="FFD9D9D9"/>
      </left>
      <right style="thin">
        <color rgb="FFD9D9D9"/>
      </right>
      <bottom style="thin">
        <color rgb="FFD9D9D9"/>
      </bottom>
    </border>
    <border>
      <left/>
      <right/>
      <top/>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1" numFmtId="0" xfId="0" applyAlignment="1" applyFont="1">
      <alignment horizontal="center"/>
    </xf>
    <xf borderId="1" fillId="2" fontId="2" numFmtId="0" xfId="0" applyAlignment="1" applyBorder="1" applyFill="1" applyFont="1">
      <alignment horizontal="center" readingOrder="0" vertical="top"/>
    </xf>
    <xf borderId="0" fillId="0" fontId="3" numFmtId="0" xfId="0" applyFont="1"/>
    <xf borderId="0" fillId="0" fontId="4" numFmtId="0" xfId="0" applyAlignment="1" applyFont="1">
      <alignment vertical="center"/>
    </xf>
    <xf borderId="0" fillId="0" fontId="5" numFmtId="0" xfId="0" applyAlignment="1" applyFont="1">
      <alignment vertical="top"/>
    </xf>
    <xf borderId="0" fillId="2" fontId="6" numFmtId="0" xfId="0" applyAlignment="1" applyFont="1">
      <alignment horizontal="left" vertical="top"/>
    </xf>
    <xf borderId="0" fillId="2" fontId="6" numFmtId="0" xfId="0" applyAlignment="1" applyFont="1">
      <alignment horizontal="left" readingOrder="0"/>
    </xf>
    <xf borderId="0" fillId="2" fontId="7" numFmtId="0" xfId="0" applyAlignment="1" applyFont="1">
      <alignment horizontal="left" readingOrder="0"/>
    </xf>
    <xf borderId="0" fillId="2" fontId="6" numFmtId="0" xfId="0" applyAlignment="1" applyFont="1">
      <alignment horizontal="left"/>
    </xf>
    <xf borderId="0" fillId="2" fontId="6" numFmtId="0" xfId="0" applyAlignment="1" applyFont="1">
      <alignment horizontal="left" readingOrder="0" vertical="top"/>
    </xf>
    <xf borderId="0" fillId="2" fontId="6" numFmtId="0" xfId="0" applyAlignment="1" applyFont="1">
      <alignment horizontal="left" readingOrder="0" shrinkToFit="0" wrapText="1"/>
    </xf>
    <xf borderId="0" fillId="0" fontId="4" numFmtId="0" xfId="0" applyAlignment="1" applyFont="1">
      <alignment readingOrder="0" vertical="center"/>
    </xf>
    <xf borderId="0" fillId="3" fontId="4" numFmtId="0" xfId="0" applyAlignment="1" applyFill="1" applyFont="1">
      <alignment vertical="center"/>
    </xf>
    <xf borderId="0" fillId="3" fontId="8" numFmtId="0" xfId="0" applyAlignment="1" applyFont="1">
      <alignment vertical="top"/>
    </xf>
    <xf borderId="0" fillId="3" fontId="6" numFmtId="0" xfId="0" applyAlignment="1" applyFont="1">
      <alignment horizontal="left" readingOrder="0" vertical="top"/>
    </xf>
    <xf borderId="0" fillId="3" fontId="6" numFmtId="0" xfId="0" applyAlignment="1" applyFont="1">
      <alignment horizontal="left" vertical="top"/>
    </xf>
    <xf borderId="0" fillId="3" fontId="3" numFmtId="0" xfId="0" applyFont="1"/>
    <xf borderId="0" fillId="2" fontId="9" numFmtId="0" xfId="0" applyAlignment="1" applyFont="1">
      <alignment horizontal="left" readingOrder="0"/>
    </xf>
    <xf borderId="2" fillId="2" fontId="10" numFmtId="0" xfId="0" applyAlignment="1" applyBorder="1" applyFont="1">
      <alignment horizontal="left" readingOrder="0" vertical="top"/>
    </xf>
    <xf borderId="0" fillId="2" fontId="6" numFmtId="0" xfId="0" applyAlignment="1" applyFont="1">
      <alignment horizontal="left"/>
    </xf>
    <xf borderId="2" fillId="2" fontId="6" numFmtId="0" xfId="0" applyAlignment="1" applyBorder="1" applyFont="1">
      <alignment horizontal="left" readingOrder="0" vertical="top"/>
    </xf>
    <xf borderId="0" fillId="0" fontId="3" numFmtId="0" xfId="0" applyAlignment="1" applyFont="1">
      <alignment readingOrder="0"/>
    </xf>
    <xf borderId="0" fillId="3" fontId="6" numFmtId="0" xfId="0" applyAlignment="1" applyFont="1">
      <alignment horizontal="left" readingOrder="0"/>
    </xf>
    <xf borderId="3" fillId="4" fontId="4" numFmtId="0" xfId="0" applyAlignment="1" applyBorder="1" applyFill="1" applyFont="1">
      <alignment vertical="center"/>
    </xf>
    <xf borderId="3" fillId="4" fontId="4" numFmtId="0" xfId="0" applyBorder="1" applyFont="1"/>
    <xf borderId="0" fillId="2" fontId="11" numFmtId="0" xfId="0" applyAlignment="1" applyFont="1">
      <alignment horizontal="left" vertical="top"/>
    </xf>
    <xf borderId="3" fillId="4" fontId="6" numFmtId="0" xfId="0" applyBorder="1" applyFont="1"/>
    <xf borderId="3" fillId="4" fontId="12" numFmtId="0" xfId="0" applyBorder="1" applyFont="1"/>
    <xf borderId="0" fillId="5" fontId="3" numFmtId="0" xfId="0" applyFill="1" applyFont="1"/>
    <xf borderId="0" fillId="5" fontId="4" numFmtId="0" xfId="0" applyAlignment="1" applyFont="1">
      <alignment vertical="center"/>
    </xf>
    <xf borderId="0" fillId="5" fontId="13" numFmtId="0" xfId="0" applyAlignment="1" applyFont="1">
      <alignment vertical="top"/>
    </xf>
    <xf borderId="0" fillId="2" fontId="14" numFmtId="0" xfId="0" applyAlignment="1" applyFont="1">
      <alignment horizontal="left" readingOrder="0" vertical="top"/>
    </xf>
    <xf borderId="0" fillId="0" fontId="1" numFmtId="0" xfId="0" applyAlignment="1" applyFont="1">
      <alignment vertical="center"/>
    </xf>
    <xf borderId="3" fillId="3" fontId="4" numFmtId="0" xfId="0" applyBorder="1" applyFont="1"/>
    <xf borderId="3" fillId="3" fontId="4" numFmtId="0" xfId="0" applyAlignment="1" applyBorder="1" applyFont="1">
      <alignment vertical="center"/>
    </xf>
    <xf borderId="3" fillId="6" fontId="15" numFmtId="0" xfId="0" applyAlignment="1" applyBorder="1" applyFill="1" applyFont="1">
      <alignment vertical="top"/>
    </xf>
    <xf borderId="3" fillId="2" fontId="6" numFmtId="0" xfId="0" applyAlignment="1" applyBorder="1" applyFont="1">
      <alignment horizontal="left" vertical="top"/>
    </xf>
    <xf borderId="3" fillId="2" fontId="6" numFmtId="0" xfId="0" applyAlignment="1" applyBorder="1" applyFont="1">
      <alignment horizontal="left" readingOrder="0" vertical="top"/>
    </xf>
    <xf borderId="0" fillId="0" fontId="16" numFmtId="0" xfId="0" applyAlignment="1" applyFont="1">
      <alignment readingOrder="0" vertical="top"/>
    </xf>
    <xf borderId="0" fillId="0" fontId="4" numFmtId="0" xfId="0" applyAlignment="1" applyFont="1">
      <alignment shrinkToFit="0" vertical="center" wrapText="1"/>
    </xf>
    <xf borderId="0" fillId="0" fontId="17" numFmtId="0" xfId="0" applyAlignment="1" applyFont="1">
      <alignment readingOrder="0"/>
    </xf>
    <xf borderId="0" fillId="2" fontId="6" numFmtId="0" xfId="0" applyFont="1"/>
    <xf borderId="0" fillId="0" fontId="18" numFmtId="0" xfId="0" applyFont="1"/>
    <xf borderId="0" fillId="0" fontId="19" numFmtId="0" xfId="0" applyAlignment="1" applyFont="1">
      <alignment vertical="top"/>
    </xf>
    <xf borderId="0" fillId="0" fontId="20" numFmtId="0" xfId="0" applyFont="1"/>
    <xf borderId="0" fillId="0" fontId="21"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michiganbusiness.org/ofme/" TargetMode="External"/><Relationship Id="rId190" Type="http://schemas.openxmlformats.org/officeDocument/2006/relationships/hyperlink" Target="https://www.bdc.ca/en/bdc-capital" TargetMode="External"/><Relationship Id="rId42" Type="http://schemas.openxmlformats.org/officeDocument/2006/relationships/hyperlink" Target="https://research.wayne.edu/key-research" TargetMode="External"/><Relationship Id="rId41" Type="http://schemas.openxmlformats.org/officeDocument/2006/relationships/hyperlink" Target="https://neweconomyinitiative.org/" TargetMode="External"/><Relationship Id="rId44" Type="http://schemas.openxmlformats.org/officeDocument/2006/relationships/hyperlink" Target="https://idventures.com/" TargetMode="External"/><Relationship Id="rId194" Type="http://schemas.openxmlformats.org/officeDocument/2006/relationships/hyperlink" Target="https://www.angelonenetwork.ca/" TargetMode="External"/><Relationship Id="rId43" Type="http://schemas.openxmlformats.org/officeDocument/2006/relationships/hyperlink" Target="https://research.wayne.edu/profile/ag2712" TargetMode="External"/><Relationship Id="rId193" Type="http://schemas.openxmlformats.org/officeDocument/2006/relationships/hyperlink" Target="https://gdg.community.dev/gdg-windsor/" TargetMode="External"/><Relationship Id="rId46" Type="http://schemas.openxmlformats.org/officeDocument/2006/relationships/hyperlink" Target="https://prosperusdetroit.org/" TargetMode="External"/><Relationship Id="rId192" Type="http://schemas.openxmlformats.org/officeDocument/2006/relationships/hyperlink" Target="https://www.risehelps.ca/" TargetMode="External"/><Relationship Id="rId45" Type="http://schemas.openxmlformats.org/officeDocument/2006/relationships/hyperlink" Target="mailto:info@investdetroit.com" TargetMode="External"/><Relationship Id="rId191" Type="http://schemas.openxmlformats.org/officeDocument/2006/relationships/hyperlink" Target="https://www.mitacs.ca/" TargetMode="External"/><Relationship Id="rId48" Type="http://schemas.openxmlformats.org/officeDocument/2006/relationships/hyperlink" Target="https://ecotek-us.com/" TargetMode="External"/><Relationship Id="rId187" Type="http://schemas.openxmlformats.org/officeDocument/2006/relationships/hyperlink" Target="https://www.oc-innovation.ca" TargetMode="External"/><Relationship Id="rId47" Type="http://schemas.openxmlformats.org/officeDocument/2006/relationships/hyperlink" Target="https://www.techtowndetroit.org/" TargetMode="External"/><Relationship Id="rId186" Type="http://schemas.openxmlformats.org/officeDocument/2006/relationships/hyperlink" Target="https://vectorinstitute.ai" TargetMode="External"/><Relationship Id="rId185" Type="http://schemas.openxmlformats.org/officeDocument/2006/relationships/hyperlink" Target="https://www.indigenousinnovate.org/" TargetMode="External"/><Relationship Id="rId49" Type="http://schemas.openxmlformats.org/officeDocument/2006/relationships/hyperlink" Target="mailto:Ecoteklab@gmail.com" TargetMode="External"/><Relationship Id="rId184" Type="http://schemas.openxmlformats.org/officeDocument/2006/relationships/hyperlink" Target="https://www.investontario.ca/" TargetMode="External"/><Relationship Id="rId189" Type="http://schemas.openxmlformats.org/officeDocument/2006/relationships/hyperlink" Target="https://mapleleafangels.com/" TargetMode="External"/><Relationship Id="rId188" Type="http://schemas.openxmlformats.org/officeDocument/2006/relationships/hyperlink" Target="https://www.ngen.ca" TargetMode="External"/><Relationship Id="rId31" Type="http://schemas.openxmlformats.org/officeDocument/2006/relationships/hyperlink" Target="https://www.buildinstitute.org/" TargetMode="External"/><Relationship Id="rId30" Type="http://schemas.openxmlformats.org/officeDocument/2006/relationships/hyperlink" Target="mailto:sukhbirsingh@rbequity.com" TargetMode="External"/><Relationship Id="rId33" Type="http://schemas.openxmlformats.org/officeDocument/2006/relationships/hyperlink" Target="https://www.500.co/" TargetMode="External"/><Relationship Id="rId183" Type="http://schemas.openxmlformats.org/officeDocument/2006/relationships/hyperlink" Target="https://weangelnetwork.com/" TargetMode="External"/><Relationship Id="rId32" Type="http://schemas.openxmlformats.org/officeDocument/2006/relationships/hyperlink" Target="mailto:hello@buildinstitute.org" TargetMode="External"/><Relationship Id="rId182" Type="http://schemas.openxmlformats.org/officeDocument/2006/relationships/hyperlink" Target="https://www.tourisminnovation.ca/" TargetMode="External"/><Relationship Id="rId35" Type="http://schemas.openxmlformats.org/officeDocument/2006/relationships/hyperlink" Target="https://detroitmi.gov/" TargetMode="External"/><Relationship Id="rId181" Type="http://schemas.openxmlformats.org/officeDocument/2006/relationships/hyperlink" Target="https://www.uwindsor.ca/idir/" TargetMode="External"/><Relationship Id="rId34" Type="http://schemas.openxmlformats.org/officeDocument/2006/relationships/hyperlink" Target="https://www.detroitsmartparkinglab.org/" TargetMode="External"/><Relationship Id="rId180" Type="http://schemas.openxmlformats.org/officeDocument/2006/relationships/hyperlink" Target="https://www.uwindsor.ca/glier/" TargetMode="External"/><Relationship Id="rId37" Type="http://schemas.openxmlformats.org/officeDocument/2006/relationships/hyperlink" Target="mailto:brandoncorts@gmail.com" TargetMode="External"/><Relationship Id="rId176" Type="http://schemas.openxmlformats.org/officeDocument/2006/relationships/hyperlink" Target="https://workforcewindsoressex.com/" TargetMode="External"/><Relationship Id="rId36" Type="http://schemas.openxmlformats.org/officeDocument/2006/relationships/hyperlink" Target="https://www.newlab.com/" TargetMode="External"/><Relationship Id="rId175" Type="http://schemas.openxmlformats.org/officeDocument/2006/relationships/hyperlink" Target="https://www.hackf.org/" TargetMode="External"/><Relationship Id="rId39" Type="http://schemas.openxmlformats.org/officeDocument/2006/relationships/hyperlink" Target="https://detroit.umich.edu/umci/" TargetMode="External"/><Relationship Id="rId174" Type="http://schemas.openxmlformats.org/officeDocument/2006/relationships/hyperlink" Target="https://wechamber.org/" TargetMode="External"/><Relationship Id="rId38" Type="http://schemas.openxmlformats.org/officeDocument/2006/relationships/hyperlink" Target="https://www.globaldetroitmi.org/" TargetMode="External"/><Relationship Id="rId173" Type="http://schemas.openxmlformats.org/officeDocument/2006/relationships/hyperlink" Target="https://wetech-alliance.com/" TargetMode="External"/><Relationship Id="rId179" Type="http://schemas.openxmlformats.org/officeDocument/2006/relationships/hyperlink" Target="https://www.uwindsor.ca/engineering/research/422/centre-automotive-research-and-education" TargetMode="External"/><Relationship Id="rId178" Type="http://schemas.openxmlformats.org/officeDocument/2006/relationships/hyperlink" Target="https://www.camm.ca/" TargetMode="External"/><Relationship Id="rId177" Type="http://schemas.openxmlformats.org/officeDocument/2006/relationships/hyperlink" Target="https://www.automatecanada.com/" TargetMode="External"/><Relationship Id="rId20" Type="http://schemas.openxmlformats.org/officeDocument/2006/relationships/hyperlink" Target="https://michiganvca.org/" TargetMode="External"/><Relationship Id="rId22" Type="http://schemas.openxmlformats.org/officeDocument/2006/relationships/hyperlink" Target="https://www.protoaccelerator.com/" TargetMode="External"/><Relationship Id="rId21" Type="http://schemas.openxmlformats.org/officeDocument/2006/relationships/hyperlink" Target="mailto:info@michiganvca.org" TargetMode="External"/><Relationship Id="rId24" Type="http://schemas.openxmlformats.org/officeDocument/2006/relationships/hyperlink" Target="https://lift.technology/" TargetMode="External"/><Relationship Id="rId23" Type="http://schemas.openxmlformats.org/officeDocument/2006/relationships/hyperlink" Target="https://www.detroitregionalpartnership.com/" TargetMode="External"/><Relationship Id="rId26" Type="http://schemas.openxmlformats.org/officeDocument/2006/relationships/hyperlink" Target="https://www.techstars.com/accelerators" TargetMode="External"/><Relationship Id="rId25" Type="http://schemas.openxmlformats.org/officeDocument/2006/relationships/hyperlink" Target="mailto:communications@almmii.org" TargetMode="External"/><Relationship Id="rId28" Type="http://schemas.openxmlformats.org/officeDocument/2006/relationships/hyperlink" Target="mailto:info@urbantechxchange.com" TargetMode="External"/><Relationship Id="rId27" Type="http://schemas.openxmlformats.org/officeDocument/2006/relationships/hyperlink" Target="https://urbantechxchange.com/" TargetMode="External"/><Relationship Id="rId29" Type="http://schemas.openxmlformats.org/officeDocument/2006/relationships/hyperlink" Target="https://www.rbequity.com/" TargetMode="External"/><Relationship Id="rId11" Type="http://schemas.openxmlformats.org/officeDocument/2006/relationships/hyperlink" Target="mailto:info@michiganrise.com" TargetMode="External"/><Relationship Id="rId10" Type="http://schemas.openxmlformats.org/officeDocument/2006/relationships/hyperlink" Target="https://www.michiganrise.org/" TargetMode="External"/><Relationship Id="rId13" Type="http://schemas.openxmlformats.org/officeDocument/2006/relationships/hyperlink" Target="http://www.amherstfund.com/" TargetMode="External"/><Relationship Id="rId12" Type="http://schemas.openxmlformats.org/officeDocument/2006/relationships/hyperlink" Target="https://annarborusa.org/" TargetMode="External"/><Relationship Id="rId15" Type="http://schemas.openxmlformats.org/officeDocument/2006/relationships/hyperlink" Target="https://www.tsrlinc.com/" TargetMode="External"/><Relationship Id="rId14" Type="http://schemas.openxmlformats.org/officeDocument/2006/relationships/hyperlink" Target="mailto:info@amherstfund.com" TargetMode="External"/><Relationship Id="rId17" Type="http://schemas.openxmlformats.org/officeDocument/2006/relationships/hyperlink" Target="https://www.merit.edu/" TargetMode="External"/><Relationship Id="rId16" Type="http://schemas.openxmlformats.org/officeDocument/2006/relationships/hyperlink" Target="https://desaiaccelerator.umich.edu/" TargetMode="External"/><Relationship Id="rId195" Type="http://schemas.openxmlformats.org/officeDocument/2006/relationships/drawing" Target="../drawings/drawing1.xml"/><Relationship Id="rId19" Type="http://schemas.openxmlformats.org/officeDocument/2006/relationships/hyperlink" Target="https://birminghamangels.org/" TargetMode="External"/><Relationship Id="rId18" Type="http://schemas.openxmlformats.org/officeDocument/2006/relationships/hyperlink" Target="mailto:info@merit.edu" TargetMode="External"/><Relationship Id="rId84" Type="http://schemas.openxmlformats.org/officeDocument/2006/relationships/hyperlink" Target="https://www.bellefunds.com/" TargetMode="External"/><Relationship Id="rId83" Type="http://schemas.openxmlformats.org/officeDocument/2006/relationships/hyperlink" Target="mailto:hello@augmentventures.com" TargetMode="External"/><Relationship Id="rId86" Type="http://schemas.openxmlformats.org/officeDocument/2006/relationships/hyperlink" Target="https://www.detroit.vc/" TargetMode="External"/><Relationship Id="rId85" Type="http://schemas.openxmlformats.org/officeDocument/2006/relationships/hyperlink" Target="https://www.businessleadersformichigan.com/" TargetMode="External"/><Relationship Id="rId88" Type="http://schemas.openxmlformats.org/officeDocument/2006/relationships/hyperlink" Target="https://gemdetroitregion.com/" TargetMode="External"/><Relationship Id="rId150" Type="http://schemas.openxmlformats.org/officeDocument/2006/relationships/hyperlink" Target="https://www.innovation.ca/" TargetMode="External"/><Relationship Id="rId87" Type="http://schemas.openxmlformats.org/officeDocument/2006/relationships/hyperlink" Target="mailto:info@detroit.vc" TargetMode="External"/><Relationship Id="rId89" Type="http://schemas.openxmlformats.org/officeDocument/2006/relationships/hyperlink" Target="http://10ksbdetroit.com/" TargetMode="External"/><Relationship Id="rId80" Type="http://schemas.openxmlformats.org/officeDocument/2006/relationships/hyperlink" Target="https://assemblyventures.com/" TargetMode="External"/><Relationship Id="rId82" Type="http://schemas.openxmlformats.org/officeDocument/2006/relationships/hyperlink" Target="https://www.augmentventures.com/" TargetMode="External"/><Relationship Id="rId81" Type="http://schemas.openxmlformats.org/officeDocument/2006/relationships/hyperlink" Target="mailto:contact@assemblyventures.com" TargetMode="External"/><Relationship Id="rId1" Type="http://schemas.openxmlformats.org/officeDocument/2006/relationships/hyperlink" Target="https://www.score.org/annarborarea" TargetMode="External"/><Relationship Id="rId2" Type="http://schemas.openxmlformats.org/officeDocument/2006/relationships/hyperlink" Target="https://innovationpartnerships.umich.edu/" TargetMode="External"/><Relationship Id="rId3" Type="http://schemas.openxmlformats.org/officeDocument/2006/relationships/hyperlink" Target="mailto:kbsexton@umich.edu" TargetMode="External"/><Relationship Id="rId149" Type="http://schemas.openxmlformats.org/officeDocument/2006/relationships/hyperlink" Target="https://torontoglobal.ca/" TargetMode="External"/><Relationship Id="rId4" Type="http://schemas.openxmlformats.org/officeDocument/2006/relationships/hyperlink" Target="https://www.arboretumvc.com/" TargetMode="External"/><Relationship Id="rId148" Type="http://schemas.openxmlformats.org/officeDocument/2006/relationships/hyperlink" Target="https://www.nextcanada.com/" TargetMode="External"/><Relationship Id="rId9" Type="http://schemas.openxmlformats.org/officeDocument/2006/relationships/hyperlink" Target="https://www.ncms.org/" TargetMode="External"/><Relationship Id="rId143" Type="http://schemas.openxmlformats.org/officeDocument/2006/relationships/hyperlink" Target="https://www.torontomu.ca/svz/" TargetMode="External"/><Relationship Id="rId142" Type="http://schemas.openxmlformats.org/officeDocument/2006/relationships/hyperlink" Target="https://humber.ca/cfe/" TargetMode="External"/><Relationship Id="rId141" Type="http://schemas.openxmlformats.org/officeDocument/2006/relationships/hyperlink" Target="https://utest.to/" TargetMode="External"/><Relationship Id="rId140" Type="http://schemas.openxmlformats.org/officeDocument/2006/relationships/hyperlink" Target="https://www.innovateniagara.com/site/home" TargetMode="External"/><Relationship Id="rId5" Type="http://schemas.openxmlformats.org/officeDocument/2006/relationships/hyperlink" Target="mailto:info@arboretumvc.com" TargetMode="External"/><Relationship Id="rId147" Type="http://schemas.openxmlformats.org/officeDocument/2006/relationships/hyperlink" Target="https://tbdc.com/" TargetMode="External"/><Relationship Id="rId6" Type="http://schemas.openxmlformats.org/officeDocument/2006/relationships/hyperlink" Target="https://www.lsi.umich.edu/" TargetMode="External"/><Relationship Id="rId146" Type="http://schemas.openxmlformats.org/officeDocument/2006/relationships/hyperlink" Target="https://www.marsdd.com/our-sectors/health/" TargetMode="External"/><Relationship Id="rId7" Type="http://schemas.openxmlformats.org/officeDocument/2006/relationships/hyperlink" Target="mailto:andyalt@umich.edu" TargetMode="External"/><Relationship Id="rId145" Type="http://schemas.openxmlformats.org/officeDocument/2006/relationships/hyperlink" Target="https://marsdd.com/" TargetMode="External"/><Relationship Id="rId8" Type="http://schemas.openxmlformats.org/officeDocument/2006/relationships/hyperlink" Target="https://mcity.umich.edu/" TargetMode="External"/><Relationship Id="rId144" Type="http://schemas.openxmlformats.org/officeDocument/2006/relationships/hyperlink" Target="https://www.toronto-bia.com/" TargetMode="External"/><Relationship Id="rId73" Type="http://schemas.openxmlformats.org/officeDocument/2006/relationships/hyperlink" Target="https://www.innovationworks.com/" TargetMode="External"/><Relationship Id="rId72" Type="http://schemas.openxmlformats.org/officeDocument/2006/relationships/hyperlink" Target="https://www.mtu.edu/research/innovation/mtrac/" TargetMode="External"/><Relationship Id="rId75" Type="http://schemas.openxmlformats.org/officeDocument/2006/relationships/hyperlink" Target="mailto:asmith18@oakland.edu" TargetMode="External"/><Relationship Id="rId74" Type="http://schemas.openxmlformats.org/officeDocument/2006/relationships/hyperlink" Target="https://www.oakland.edu/ouinc/" TargetMode="External"/><Relationship Id="rId77" Type="http://schemas.openxmlformats.org/officeDocument/2006/relationships/hyperlink" Target="mailto:info@centrepolisaccelerator.com" TargetMode="External"/><Relationship Id="rId76" Type="http://schemas.openxmlformats.org/officeDocument/2006/relationships/hyperlink" Target="https://www.centrepolisaccelerator.com/" TargetMode="External"/><Relationship Id="rId79" Type="http://schemas.openxmlformats.org/officeDocument/2006/relationships/hyperlink" Target="https://www.sbdcmichigan.org/" TargetMode="External"/><Relationship Id="rId78" Type="http://schemas.openxmlformats.org/officeDocument/2006/relationships/hyperlink" Target="https://www.automationalley.com/" TargetMode="External"/><Relationship Id="rId71" Type="http://schemas.openxmlformats.org/officeDocument/2006/relationships/hyperlink" Target="https://www.lansingchamber.org/" TargetMode="External"/><Relationship Id="rId70" Type="http://schemas.openxmlformats.org/officeDocument/2006/relationships/hyperlink" Target="https://www.michiganbusiness.org/" TargetMode="External"/><Relationship Id="rId139" Type="http://schemas.openxmlformats.org/officeDocument/2006/relationships/hyperlink" Target="https://brocku.ca/linc/" TargetMode="External"/><Relationship Id="rId138" Type="http://schemas.openxmlformats.org/officeDocument/2006/relationships/hyperlink" Target="https://www.bincanada.ca/" TargetMode="External"/><Relationship Id="rId137" Type="http://schemas.openxmlformats.org/officeDocument/2006/relationships/hyperlink" Target="https://edge.sheridancollege.ca/" TargetMode="External"/><Relationship Id="rId132" Type="http://schemas.openxmlformats.org/officeDocument/2006/relationships/hyperlink" Target="https://www.ideamississauga.ca/" TargetMode="External"/><Relationship Id="rId131" Type="http://schemas.openxmlformats.org/officeDocument/2006/relationships/hyperlink" Target="https://sbcentre.ca/" TargetMode="External"/><Relationship Id="rId130" Type="http://schemas.openxmlformats.org/officeDocument/2006/relationships/hyperlink" Target="https://www.ledc.com/" TargetMode="External"/><Relationship Id="rId136" Type="http://schemas.openxmlformats.org/officeDocument/2006/relationships/hyperlink" Target="https://nfinnovationhub.ca/" TargetMode="External"/><Relationship Id="rId135" Type="http://schemas.openxmlformats.org/officeDocument/2006/relationships/hyperlink" Target="https://foresightcac.com/" TargetMode="External"/><Relationship Id="rId134" Type="http://schemas.openxmlformats.org/officeDocument/2006/relationships/hyperlink" Target="https://icubeutm.ca/" TargetMode="External"/><Relationship Id="rId133" Type="http://schemas.openxmlformats.org/officeDocument/2006/relationships/hyperlink" Target="https://www.norcat.org/innovation/" TargetMode="External"/><Relationship Id="rId62" Type="http://schemas.openxmlformats.org/officeDocument/2006/relationships/hyperlink" Target="https://msufoundation.org/east-lansing-tic/" TargetMode="External"/><Relationship Id="rId61" Type="http://schemas.openxmlformats.org/officeDocument/2006/relationships/hyperlink" Target="https://innovationcenter.msu.edu/" TargetMode="External"/><Relationship Id="rId64" Type="http://schemas.openxmlformats.org/officeDocument/2006/relationships/hyperlink" Target="mailto:info@beringea.com" TargetMode="External"/><Relationship Id="rId63" Type="http://schemas.openxmlformats.org/officeDocument/2006/relationships/hyperlink" Target="https://www.beringea.com/" TargetMode="External"/><Relationship Id="rId66" Type="http://schemas.openxmlformats.org/officeDocument/2006/relationships/hyperlink" Target="mailto:hey@ferriswheelflint.com" TargetMode="External"/><Relationship Id="rId172" Type="http://schemas.openxmlformats.org/officeDocument/2006/relationships/hyperlink" Target="https://www.apma.ca/" TargetMode="External"/><Relationship Id="rId65" Type="http://schemas.openxmlformats.org/officeDocument/2006/relationships/hyperlink" Target="https://www.ferriswheelflint.com/" TargetMode="External"/><Relationship Id="rId171" Type="http://schemas.openxmlformats.org/officeDocument/2006/relationships/hyperlink" Target="https://www.stclairresearch.ca/" TargetMode="External"/><Relationship Id="rId68" Type="http://schemas.openxmlformats.org/officeDocument/2006/relationships/hyperlink" Target="https://www.sbam.org/" TargetMode="External"/><Relationship Id="rId170" Type="http://schemas.openxmlformats.org/officeDocument/2006/relationships/hyperlink" Target="https://www.webusinesscentre.com/" TargetMode="External"/><Relationship Id="rId67" Type="http://schemas.openxmlformats.org/officeDocument/2006/relationships/hyperlink" Target="https://www.purelansing.com/" TargetMode="External"/><Relationship Id="rId60" Type="http://schemas.openxmlformats.org/officeDocument/2006/relationships/hyperlink" Target="https://msufoundation.org/" TargetMode="External"/><Relationship Id="rId165" Type="http://schemas.openxmlformats.org/officeDocument/2006/relationships/hyperlink" Target="https://www.acceleratorcentre.com/" TargetMode="External"/><Relationship Id="rId69" Type="http://schemas.openxmlformats.org/officeDocument/2006/relationships/hyperlink" Target="mailto:michael.brown@sbam.org" TargetMode="External"/><Relationship Id="rId164" Type="http://schemas.openxmlformats.org/officeDocument/2006/relationships/hyperlink" Target="https://uwaterloo.ca/institute-nanotechnology" TargetMode="External"/><Relationship Id="rId163" Type="http://schemas.openxmlformats.org/officeDocument/2006/relationships/hyperlink" Target="https://uwaterloo.ca/waterloo-advanced-technology-laboratory" TargetMode="External"/><Relationship Id="rId162" Type="http://schemas.openxmlformats.org/officeDocument/2006/relationships/hyperlink" Target="https://wasl.uwaterloo.ca/" TargetMode="External"/><Relationship Id="rId169" Type="http://schemas.openxmlformats.org/officeDocument/2006/relationships/hyperlink" Target="https://www.investwindsoressex.com/" TargetMode="External"/><Relationship Id="rId168" Type="http://schemas.openxmlformats.org/officeDocument/2006/relationships/hyperlink" Target="https://qvideaslab.ca/" TargetMode="External"/><Relationship Id="rId167" Type="http://schemas.openxmlformats.org/officeDocument/2006/relationships/hyperlink" Target="https://rtpark.uwaterloo.ca/" TargetMode="External"/><Relationship Id="rId166" Type="http://schemas.openxmlformats.org/officeDocument/2006/relationships/hyperlink" Target="https://www.perimeterinstitute.ca/" TargetMode="External"/><Relationship Id="rId51" Type="http://schemas.openxmlformats.org/officeDocument/2006/relationships/hyperlink" Target="https://investdetroit.com/" TargetMode="External"/><Relationship Id="rId50" Type="http://schemas.openxmlformats.org/officeDocument/2006/relationships/hyperlink" Target="https://www.degc.org/" TargetMode="External"/><Relationship Id="rId53" Type="http://schemas.openxmlformats.org/officeDocument/2006/relationships/hyperlink" Target="mailto:hey@100kideas.org" TargetMode="External"/><Relationship Id="rId52" Type="http://schemas.openxmlformats.org/officeDocument/2006/relationships/hyperlink" Target="https://100kideas.org/" TargetMode="External"/><Relationship Id="rId55" Type="http://schemas.openxmlformats.org/officeDocument/2006/relationships/hyperlink" Target="https://michauto.org/innovate-michigan/" TargetMode="External"/><Relationship Id="rId161" Type="http://schemas.openxmlformats.org/officeDocument/2006/relationships/hyperlink" Target="https://uwaterloo.ca/microelectronics-heat-transfer-laboratory/" TargetMode="External"/><Relationship Id="rId54" Type="http://schemas.openxmlformats.org/officeDocument/2006/relationships/hyperlink" Target="https://www.detroitchamber.com/" TargetMode="External"/><Relationship Id="rId160" Type="http://schemas.openxmlformats.org/officeDocument/2006/relationships/hyperlink" Target="https://uwaterloo.ca/institute-for-quantum-computing" TargetMode="External"/><Relationship Id="rId57" Type="http://schemas.openxmlformats.org/officeDocument/2006/relationships/hyperlink" Target="https://www.fontinalis.com/" TargetMode="External"/><Relationship Id="rId56" Type="http://schemas.openxmlformats.org/officeDocument/2006/relationships/hyperlink" Target="https://www.michauto.org/" TargetMode="External"/><Relationship Id="rId159" Type="http://schemas.openxmlformats.org/officeDocument/2006/relationships/hyperlink" Target="https://www.vinelandresearch.com/" TargetMode="External"/><Relationship Id="rId59" Type="http://schemas.openxmlformats.org/officeDocument/2006/relationships/hyperlink" Target="https://michiganvca.org/investor/red-cedar-ventures-msu/" TargetMode="External"/><Relationship Id="rId154" Type="http://schemas.openxmlformats.org/officeDocument/2006/relationships/hyperlink" Target="https://socialinnovation.org/" TargetMode="External"/><Relationship Id="rId58" Type="http://schemas.openxmlformats.org/officeDocument/2006/relationships/hyperlink" Target="https://techtransfer.wayne.edu/" TargetMode="External"/><Relationship Id="rId153" Type="http://schemas.openxmlformats.org/officeDocument/2006/relationships/hyperlink" Target="https://www.yorku.ca/research/innovation-partnerships/" TargetMode="External"/><Relationship Id="rId152" Type="http://schemas.openxmlformats.org/officeDocument/2006/relationships/hyperlink" Target="https://www.cybernorthventures.com/" TargetMode="External"/><Relationship Id="rId151" Type="http://schemas.openxmlformats.org/officeDocument/2006/relationships/hyperlink" Target="https://dmz.torontomu.ca/" TargetMode="External"/><Relationship Id="rId158" Type="http://schemas.openxmlformats.org/officeDocument/2006/relationships/hyperlink" Target="https://www.ccib.ca/" TargetMode="External"/><Relationship Id="rId157" Type="http://schemas.openxmlformats.org/officeDocument/2006/relationships/hyperlink" Target="https://occ.ca/" TargetMode="External"/><Relationship Id="rId156" Type="http://schemas.openxmlformats.org/officeDocument/2006/relationships/hyperlink" Target="https://www.toronto.ca/business-economy/new-businesses-startups/small-business-support/" TargetMode="External"/><Relationship Id="rId155" Type="http://schemas.openxmlformats.org/officeDocument/2006/relationships/hyperlink" Target="https://www.creativedestructionlab.com/" TargetMode="External"/><Relationship Id="rId107" Type="http://schemas.openxmlformats.org/officeDocument/2006/relationships/hyperlink" Target="https://www.chatham-kent.ca/EconomicDevelopment/Pages/default.aspx" TargetMode="External"/><Relationship Id="rId106" Type="http://schemas.openxmlformats.org/officeDocument/2006/relationships/hyperlink" Target="https://www.ctma.com/" TargetMode="External"/><Relationship Id="rId105" Type="http://schemas.openxmlformats.org/officeDocument/2006/relationships/hyperlink" Target="https://www.techplace.ca/" TargetMode="External"/><Relationship Id="rId104" Type="http://schemas.openxmlformats.org/officeDocument/2006/relationships/hyperlink" Target="https://students.wlu.ca/work-leadership-and-volunteering/entrepreneurship/launchpad-brantford/index.html" TargetMode="External"/><Relationship Id="rId109" Type="http://schemas.openxmlformats.org/officeDocument/2006/relationships/hyperlink" Target="https://soarinnovation.com/" TargetMode="External"/><Relationship Id="rId108" Type="http://schemas.openxmlformats.org/officeDocument/2006/relationships/hyperlink" Target="https://www.chatham-kent.ca/EconomicDevelopment/yourbusiness/Pages/Locations.aspx" TargetMode="External"/><Relationship Id="rId103" Type="http://schemas.openxmlformats.org/officeDocument/2006/relationships/hyperlink" Target="https://www.brantford.ca/en/business-and-development/business-resource-centre.aspx" TargetMode="External"/><Relationship Id="rId102" Type="http://schemas.openxmlformats.org/officeDocument/2006/relationships/hyperlink" Target="https://cybersecurecatalyst.ca/contact-us/" TargetMode="External"/><Relationship Id="rId101" Type="http://schemas.openxmlformats.org/officeDocument/2006/relationships/hyperlink" Target="https://cybersecurecatalyst.ca/" TargetMode="External"/><Relationship Id="rId100" Type="http://schemas.openxmlformats.org/officeDocument/2006/relationships/hyperlink" Target="https://altitudeaccelerator.ca/" TargetMode="External"/><Relationship Id="rId129" Type="http://schemas.openxmlformats.org/officeDocument/2006/relationships/hyperlink" Target="https://www.techalliance.ca/" TargetMode="External"/><Relationship Id="rId128" Type="http://schemas.openxmlformats.org/officeDocument/2006/relationships/hyperlink" Target="https://pillarnonprofit.ca/" TargetMode="External"/><Relationship Id="rId127" Type="http://schemas.openxmlformats.org/officeDocument/2006/relationships/hyperlink" Target="https://entrepreneurship.uwo.ca/" TargetMode="External"/><Relationship Id="rId126" Type="http://schemas.openxmlformats.org/officeDocument/2006/relationships/hyperlink" Target="https://www.leapjunction.ca/" TargetMode="External"/><Relationship Id="rId121" Type="http://schemas.openxmlformats.org/officeDocument/2006/relationships/hyperlink" Target="https://www.gtan.ca/" TargetMode="External"/><Relationship Id="rId120" Type="http://schemas.openxmlformats.org/officeDocument/2006/relationships/hyperlink" Target="https://www.communitech.ca/" TargetMode="External"/><Relationship Id="rId125" Type="http://schemas.openxmlformats.org/officeDocument/2006/relationships/hyperlink" Target="https://southsx.com/" TargetMode="External"/><Relationship Id="rId124" Type="http://schemas.openxmlformats.org/officeDocument/2006/relationships/hyperlink" Target="https://medicalinnovationxchange.com/" TargetMode="External"/><Relationship Id="rId123" Type="http://schemas.openxmlformats.org/officeDocument/2006/relationships/hyperlink" Target="https://research.conestogac.on.ca/smart-centre" TargetMode="External"/><Relationship Id="rId122" Type="http://schemas.openxmlformats.org/officeDocument/2006/relationships/hyperlink" Target="https://velocityincubator.ca/" TargetMode="External"/><Relationship Id="rId95" Type="http://schemas.openxmlformats.org/officeDocument/2006/relationships/hyperlink" Target="mailto:investments@michigancapitalnetwork.com" TargetMode="External"/><Relationship Id="rId94" Type="http://schemas.openxmlformats.org/officeDocument/2006/relationships/hyperlink" Target="https://www.michigancapitalnetwork.com/" TargetMode="External"/><Relationship Id="rId97" Type="http://schemas.openxmlformats.org/officeDocument/2006/relationships/hyperlink" Target="https://www.midwesthouse.org/" TargetMode="External"/><Relationship Id="rId96" Type="http://schemas.openxmlformats.org/officeDocument/2006/relationships/hyperlink" Target="https://michiganfoundersfund.org/" TargetMode="External"/><Relationship Id="rId99" Type="http://schemas.openxmlformats.org/officeDocument/2006/relationships/hyperlink" Target="https://www.brampton.ca/EN/Business/BEC/Pages/Welcome.aspx" TargetMode="External"/><Relationship Id="rId98" Type="http://schemas.openxmlformats.org/officeDocument/2006/relationships/hyperlink" Target="https://www.michigan.gov/leo/initiatives/mi-small-business" TargetMode="External"/><Relationship Id="rId91" Type="http://schemas.openxmlformats.org/officeDocument/2006/relationships/hyperlink" Target="https://www.mercuryfund.com/" TargetMode="External"/><Relationship Id="rId90" Type="http://schemas.openxmlformats.org/officeDocument/2006/relationships/hyperlink" Target="https://www.ludlowventures.com/" TargetMode="External"/><Relationship Id="rId93" Type="http://schemas.openxmlformats.org/officeDocument/2006/relationships/hyperlink" Target="https://www.miangelfund.com/" TargetMode="External"/><Relationship Id="rId92" Type="http://schemas.openxmlformats.org/officeDocument/2006/relationships/hyperlink" Target="mailto:info@mercuryfund.com" TargetMode="External"/><Relationship Id="rId118" Type="http://schemas.openxmlformats.org/officeDocument/2006/relationships/hyperlink" Target="https://www.launchlab.ca/" TargetMode="External"/><Relationship Id="rId117" Type="http://schemas.openxmlformats.org/officeDocument/2006/relationships/hyperlink" Target="https://investinhamilton.ca/hamilton-business-centre/" TargetMode="External"/><Relationship Id="rId116" Type="http://schemas.openxmlformats.org/officeDocument/2006/relationships/hyperlink" Target="https://www.csii.ca/" TargetMode="External"/><Relationship Id="rId115" Type="http://schemas.openxmlformats.org/officeDocument/2006/relationships/hyperlink" Target="https://theforge.mcmaster.ca/" TargetMode="External"/><Relationship Id="rId119" Type="http://schemas.openxmlformats.org/officeDocument/2006/relationships/hyperlink" Target="https://linkprotect.cudasvc.com/url?a=http%3a%2f%2fwww.greencentrecanada.com&amp;c=E,1,-AYlMxAjwLKbeDNkfnBeCKsJnCUclGHsraBqbN8vn7xtv2Hzhdb9chLkaDaArAqsKLi3fDjGkHtAT77rV3n_zWOrPf9BQdaNXu72mM-_wxDE5_RBMvo,&amp;typo=1" TargetMode="External"/><Relationship Id="rId110" Type="http://schemas.openxmlformats.org/officeDocument/2006/relationships/hyperlink" Target="https://cfessexcounty.ca/" TargetMode="External"/><Relationship Id="rId114" Type="http://schemas.openxmlformats.org/officeDocument/2006/relationships/hyperlink" Target="https://innovationfactory.ca/" TargetMode="External"/><Relationship Id="rId113" Type="http://schemas.openxmlformats.org/officeDocument/2006/relationships/hyperlink" Target="https://www.uoguelph.ca/alliance/" TargetMode="External"/><Relationship Id="rId112" Type="http://schemas.openxmlformats.org/officeDocument/2006/relationships/hyperlink" Target="https://www.uoguelph.ca/research/innovation/" TargetMode="External"/><Relationship Id="rId111" Type="http://schemas.openxmlformats.org/officeDocument/2006/relationships/hyperlink" Target="https://bioenterprise.ca/" TargetMode="External"/></Relationships>
</file>

<file path=xl/worksheets/_rels/sheet2.xml.rels><?xml version="1.0" encoding="UTF-8" standalone="yes"?><Relationships xmlns="http://schemas.openxmlformats.org/package/2006/relationships"><Relationship Id="rId40" Type="http://schemas.openxmlformats.org/officeDocument/2006/relationships/drawing" Target="../drawings/drawing2.xml"/><Relationship Id="rId31" Type="http://schemas.openxmlformats.org/officeDocument/2006/relationships/hyperlink" Target="https://humber.ca/cfe/" TargetMode="External"/><Relationship Id="rId30" Type="http://schemas.openxmlformats.org/officeDocument/2006/relationships/hyperlink" Target="https://utest.to/" TargetMode="External"/><Relationship Id="rId33" Type="http://schemas.openxmlformats.org/officeDocument/2006/relationships/hyperlink" Target="https://www.marsdd.com/our-sectors/health/" TargetMode="External"/><Relationship Id="rId32" Type="http://schemas.openxmlformats.org/officeDocument/2006/relationships/hyperlink" Target="https://www.torontomu.ca/svz/" TargetMode="External"/><Relationship Id="rId35" Type="http://schemas.openxmlformats.org/officeDocument/2006/relationships/hyperlink" Target="https://dmz.torontomu.ca/" TargetMode="External"/><Relationship Id="rId34" Type="http://schemas.openxmlformats.org/officeDocument/2006/relationships/hyperlink" Target="https://tbdc.com/" TargetMode="External"/><Relationship Id="rId37" Type="http://schemas.openxmlformats.org/officeDocument/2006/relationships/hyperlink" Target="https://www.acceleratorcentre.com/" TargetMode="External"/><Relationship Id="rId36" Type="http://schemas.openxmlformats.org/officeDocument/2006/relationships/hyperlink" Target="https://www.creativedestructionlab.com/" TargetMode="External"/><Relationship Id="rId39" Type="http://schemas.openxmlformats.org/officeDocument/2006/relationships/hyperlink" Target="https://wetech-alliance.com/" TargetMode="External"/><Relationship Id="rId38" Type="http://schemas.openxmlformats.org/officeDocument/2006/relationships/hyperlink" Target="https://qvideaslab.ca/" TargetMode="External"/><Relationship Id="rId20" Type="http://schemas.openxmlformats.org/officeDocument/2006/relationships/hyperlink" Target="https://bioenterprise.ca/" TargetMode="External"/><Relationship Id="rId22" Type="http://schemas.openxmlformats.org/officeDocument/2006/relationships/hyperlink" Target="https://theforge.mcmaster.ca/" TargetMode="External"/><Relationship Id="rId21" Type="http://schemas.openxmlformats.org/officeDocument/2006/relationships/hyperlink" Target="https://innovationfactory.ca/" TargetMode="External"/><Relationship Id="rId24" Type="http://schemas.openxmlformats.org/officeDocument/2006/relationships/hyperlink" Target="https://velocityincubator.ca/" TargetMode="External"/><Relationship Id="rId23" Type="http://schemas.openxmlformats.org/officeDocument/2006/relationships/hyperlink" Target="https://www.csii.ca/" TargetMode="External"/><Relationship Id="rId26" Type="http://schemas.openxmlformats.org/officeDocument/2006/relationships/hyperlink" Target="https://entrepreneurship.uwo.ca/" TargetMode="External"/><Relationship Id="rId25" Type="http://schemas.openxmlformats.org/officeDocument/2006/relationships/hyperlink" Target="https://www.leapjunction.ca/" TargetMode="External"/><Relationship Id="rId28" Type="http://schemas.openxmlformats.org/officeDocument/2006/relationships/hyperlink" Target="https://edge.sheridancollege.ca/" TargetMode="External"/><Relationship Id="rId27" Type="http://schemas.openxmlformats.org/officeDocument/2006/relationships/hyperlink" Target="https://icubeutm.ca/" TargetMode="External"/><Relationship Id="rId29" Type="http://schemas.openxmlformats.org/officeDocument/2006/relationships/hyperlink" Target="https://brocku.ca/linc/" TargetMode="External"/><Relationship Id="rId11" Type="http://schemas.openxmlformats.org/officeDocument/2006/relationships/hyperlink" Target="https://innovationcenter.msu.edu/" TargetMode="External"/><Relationship Id="rId10" Type="http://schemas.openxmlformats.org/officeDocument/2006/relationships/hyperlink" Target="https://msufoundation.org/" TargetMode="External"/><Relationship Id="rId13" Type="http://schemas.openxmlformats.org/officeDocument/2006/relationships/hyperlink" Target="https://www.innovationworks.com/" TargetMode="External"/><Relationship Id="rId12" Type="http://schemas.openxmlformats.org/officeDocument/2006/relationships/hyperlink" Target="https://msufoundation.org/east-lansing-tic/" TargetMode="External"/><Relationship Id="rId15" Type="http://schemas.openxmlformats.org/officeDocument/2006/relationships/hyperlink" Target="https://www.centrepolisaccelerator.com/" TargetMode="External"/><Relationship Id="rId14" Type="http://schemas.openxmlformats.org/officeDocument/2006/relationships/hyperlink" Target="https://www.oakland.edu/ouinc/" TargetMode="External"/><Relationship Id="rId17" Type="http://schemas.openxmlformats.org/officeDocument/2006/relationships/hyperlink" Target="https://cybersecurecatalyst.ca/" TargetMode="External"/><Relationship Id="rId16" Type="http://schemas.openxmlformats.org/officeDocument/2006/relationships/hyperlink" Target="https://www.automationalley.com/" TargetMode="External"/><Relationship Id="rId19" Type="http://schemas.openxmlformats.org/officeDocument/2006/relationships/hyperlink" Target="https://soarinnovation.com/" TargetMode="External"/><Relationship Id="rId18" Type="http://schemas.openxmlformats.org/officeDocument/2006/relationships/hyperlink" Target="https://students.wlu.ca/work-leadership-and-volunteering/entrepreneurship/launchpad-brantford/index.html" TargetMode="External"/><Relationship Id="rId1" Type="http://schemas.openxmlformats.org/officeDocument/2006/relationships/hyperlink" Target="https://desaiaccelerator.umich.edu/" TargetMode="External"/><Relationship Id="rId2" Type="http://schemas.openxmlformats.org/officeDocument/2006/relationships/hyperlink" Target="https://www.protoaccelerator.com/" TargetMode="External"/><Relationship Id="rId3" Type="http://schemas.openxmlformats.org/officeDocument/2006/relationships/hyperlink" Target="https://lift.technology/" TargetMode="External"/><Relationship Id="rId4" Type="http://schemas.openxmlformats.org/officeDocument/2006/relationships/hyperlink" Target="https://www.techstars.com/accelerators" TargetMode="External"/><Relationship Id="rId9" Type="http://schemas.openxmlformats.org/officeDocument/2006/relationships/hyperlink" Target="https://www.techtowndetroit.org/" TargetMode="External"/><Relationship Id="rId5" Type="http://schemas.openxmlformats.org/officeDocument/2006/relationships/hyperlink" Target="https://urbantechxchange.com/" TargetMode="External"/><Relationship Id="rId6" Type="http://schemas.openxmlformats.org/officeDocument/2006/relationships/hyperlink" Target="https://www.500.co/" TargetMode="External"/><Relationship Id="rId7" Type="http://schemas.openxmlformats.org/officeDocument/2006/relationships/hyperlink" Target="https://www.detroitsmartparkinglab.org/" TargetMode="External"/><Relationship Id="rId8" Type="http://schemas.openxmlformats.org/officeDocument/2006/relationships/hyperlink" Target="https://www.newlab.com/" TargetMode="External"/></Relationships>
</file>

<file path=xl/worksheets/_rels/sheet3.xml.rels><?xml version="1.0" encoding="UTF-8" standalone="yes"?><Relationships xmlns="http://schemas.openxmlformats.org/package/2006/relationships"><Relationship Id="rId31" Type="http://schemas.openxmlformats.org/officeDocument/2006/relationships/hyperlink" Target="https://www.automatecanada.com/" TargetMode="External"/><Relationship Id="rId30" Type="http://schemas.openxmlformats.org/officeDocument/2006/relationships/hyperlink" Target="https://workforcewindsoressex.com/" TargetMode="External"/><Relationship Id="rId33" Type="http://schemas.openxmlformats.org/officeDocument/2006/relationships/hyperlink" Target="https://www.ngen.ca" TargetMode="External"/><Relationship Id="rId32" Type="http://schemas.openxmlformats.org/officeDocument/2006/relationships/hyperlink" Target="https://www.camm.ca/" TargetMode="External"/><Relationship Id="rId35" Type="http://schemas.openxmlformats.org/officeDocument/2006/relationships/drawing" Target="../drawings/drawing3.xml"/><Relationship Id="rId34" Type="http://schemas.openxmlformats.org/officeDocument/2006/relationships/hyperlink" Target="https://gdg.community.dev/gdg-windsor/" TargetMode="External"/><Relationship Id="rId20" Type="http://schemas.openxmlformats.org/officeDocument/2006/relationships/hyperlink" Target="https://www.sbdcmichigan.org/" TargetMode="External"/><Relationship Id="rId22" Type="http://schemas.openxmlformats.org/officeDocument/2006/relationships/hyperlink" Target="https://www.michigan.gov/leo/initiatives/mi-small-business" TargetMode="External"/><Relationship Id="rId21" Type="http://schemas.openxmlformats.org/officeDocument/2006/relationships/hyperlink" Target="https://www.sbdcmichigan.org/" TargetMode="External"/><Relationship Id="rId24" Type="http://schemas.openxmlformats.org/officeDocument/2006/relationships/hyperlink" Target="https://www.ctma.com/" TargetMode="External"/><Relationship Id="rId23" Type="http://schemas.openxmlformats.org/officeDocument/2006/relationships/hyperlink" Target="https://www.brantford.ca/en/business-and-development/business-resource-centre.aspx" TargetMode="External"/><Relationship Id="rId26" Type="http://schemas.openxmlformats.org/officeDocument/2006/relationships/hyperlink" Target="https://www.techalliance.ca/" TargetMode="External"/><Relationship Id="rId25" Type="http://schemas.openxmlformats.org/officeDocument/2006/relationships/hyperlink" Target="https://www.communitech.ca/" TargetMode="External"/><Relationship Id="rId28" Type="http://schemas.openxmlformats.org/officeDocument/2006/relationships/hyperlink" Target="https://www.ccib.ca/" TargetMode="External"/><Relationship Id="rId27" Type="http://schemas.openxmlformats.org/officeDocument/2006/relationships/hyperlink" Target="https://torontoglobal.ca/" TargetMode="External"/><Relationship Id="rId29" Type="http://schemas.openxmlformats.org/officeDocument/2006/relationships/hyperlink" Target="https://www.apma.ca/" TargetMode="External"/><Relationship Id="rId11" Type="http://schemas.openxmlformats.org/officeDocument/2006/relationships/hyperlink" Target="https://www.sbdcmichigan.org/" TargetMode="External"/><Relationship Id="rId10" Type="http://schemas.openxmlformats.org/officeDocument/2006/relationships/hyperlink" Target="https://www.purelansing.com/" TargetMode="External"/><Relationship Id="rId13" Type="http://schemas.openxmlformats.org/officeDocument/2006/relationships/hyperlink" Target="https://www.sbdcmichigan.org/" TargetMode="External"/><Relationship Id="rId12" Type="http://schemas.openxmlformats.org/officeDocument/2006/relationships/hyperlink" Target="https://www.sbdcmichigan.org/" TargetMode="External"/><Relationship Id="rId15" Type="http://schemas.openxmlformats.org/officeDocument/2006/relationships/hyperlink" Target="https://www.sbdcmichigan.org/" TargetMode="External"/><Relationship Id="rId14" Type="http://schemas.openxmlformats.org/officeDocument/2006/relationships/hyperlink" Target="https://www.sbdcmichigan.org/" TargetMode="External"/><Relationship Id="rId17" Type="http://schemas.openxmlformats.org/officeDocument/2006/relationships/hyperlink" Target="https://www.sbdcmichigan.org/" TargetMode="External"/><Relationship Id="rId16" Type="http://schemas.openxmlformats.org/officeDocument/2006/relationships/hyperlink" Target="https://www.sbdcmichigan.org/" TargetMode="External"/><Relationship Id="rId19" Type="http://schemas.openxmlformats.org/officeDocument/2006/relationships/hyperlink" Target="https://www.sbdcmichigan.org/" TargetMode="External"/><Relationship Id="rId18" Type="http://schemas.openxmlformats.org/officeDocument/2006/relationships/hyperlink" Target="https://www.sbdcmichigan.org/" TargetMode="External"/><Relationship Id="rId1" Type="http://schemas.openxmlformats.org/officeDocument/2006/relationships/hyperlink" Target="https://www.ncms.org/" TargetMode="External"/><Relationship Id="rId2" Type="http://schemas.openxmlformats.org/officeDocument/2006/relationships/hyperlink" Target="https://www.merit.edu/" TargetMode="External"/><Relationship Id="rId3" Type="http://schemas.openxmlformats.org/officeDocument/2006/relationships/hyperlink" Target="https://www.detroitregionalpartnership.com/" TargetMode="External"/><Relationship Id="rId4" Type="http://schemas.openxmlformats.org/officeDocument/2006/relationships/hyperlink" Target="https://detroitmi.gov/" TargetMode="External"/><Relationship Id="rId9" Type="http://schemas.openxmlformats.org/officeDocument/2006/relationships/hyperlink" Target="https://www.michauto.org/" TargetMode="External"/><Relationship Id="rId5" Type="http://schemas.openxmlformats.org/officeDocument/2006/relationships/hyperlink" Target="https://www.globaldetroitmi.org/" TargetMode="External"/><Relationship Id="rId6" Type="http://schemas.openxmlformats.org/officeDocument/2006/relationships/hyperlink" Target="https://www.michiganbusiness.org/ofme/" TargetMode="External"/><Relationship Id="rId7" Type="http://schemas.openxmlformats.org/officeDocument/2006/relationships/hyperlink" Target="https://www.degc.org/" TargetMode="External"/><Relationship Id="rId8" Type="http://schemas.openxmlformats.org/officeDocument/2006/relationships/hyperlink" Target="https://michauto.org/innovate-michigan/"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uwaterloo.ca/institute-nanotechnology" TargetMode="External"/><Relationship Id="rId22" Type="http://schemas.openxmlformats.org/officeDocument/2006/relationships/hyperlink" Target="https://rtpark.uwaterloo.ca/" TargetMode="External"/><Relationship Id="rId21" Type="http://schemas.openxmlformats.org/officeDocument/2006/relationships/hyperlink" Target="https://www.perimeterinstitute.ca/" TargetMode="External"/><Relationship Id="rId24" Type="http://schemas.openxmlformats.org/officeDocument/2006/relationships/hyperlink" Target="https://www.uwindsor.ca/engineering/research/422/centre-automotive-research-and-education" TargetMode="External"/><Relationship Id="rId23" Type="http://schemas.openxmlformats.org/officeDocument/2006/relationships/hyperlink" Target="https://www.stclairresearch.ca/" TargetMode="External"/><Relationship Id="rId26" Type="http://schemas.openxmlformats.org/officeDocument/2006/relationships/hyperlink" Target="https://www.uwindsor.ca/idir/" TargetMode="External"/><Relationship Id="rId25" Type="http://schemas.openxmlformats.org/officeDocument/2006/relationships/hyperlink" Target="https://www.uwindsor.ca/glier/" TargetMode="External"/><Relationship Id="rId28" Type="http://schemas.openxmlformats.org/officeDocument/2006/relationships/drawing" Target="../drawings/drawing4.xml"/><Relationship Id="rId27" Type="http://schemas.openxmlformats.org/officeDocument/2006/relationships/hyperlink" Target="https://vectorinstitute.ai" TargetMode="External"/><Relationship Id="rId11" Type="http://schemas.openxmlformats.org/officeDocument/2006/relationships/hyperlink" Target="https://research.conestogac.on.ca/smart-centre" TargetMode="External"/><Relationship Id="rId10" Type="http://schemas.openxmlformats.org/officeDocument/2006/relationships/hyperlink" Target="https://www.uoguelph.ca/alliance/" TargetMode="External"/><Relationship Id="rId13" Type="http://schemas.openxmlformats.org/officeDocument/2006/relationships/hyperlink" Target="https://www.innovation.ca/" TargetMode="External"/><Relationship Id="rId12" Type="http://schemas.openxmlformats.org/officeDocument/2006/relationships/hyperlink" Target="https://southsx.com/" TargetMode="External"/><Relationship Id="rId15" Type="http://schemas.openxmlformats.org/officeDocument/2006/relationships/hyperlink" Target="https://www.vinelandresearch.com/" TargetMode="External"/><Relationship Id="rId14" Type="http://schemas.openxmlformats.org/officeDocument/2006/relationships/hyperlink" Target="https://www.yorku.ca/research/innovation-partnerships/" TargetMode="External"/><Relationship Id="rId17" Type="http://schemas.openxmlformats.org/officeDocument/2006/relationships/hyperlink" Target="https://uwaterloo.ca/microelectronics-heat-transfer-laboratory/" TargetMode="External"/><Relationship Id="rId16" Type="http://schemas.openxmlformats.org/officeDocument/2006/relationships/hyperlink" Target="https://uwaterloo.ca/institute-for-quantum-computing" TargetMode="External"/><Relationship Id="rId19" Type="http://schemas.openxmlformats.org/officeDocument/2006/relationships/hyperlink" Target="https://uwaterloo.ca/waterloo-advanced-technology-laboratory" TargetMode="External"/><Relationship Id="rId18" Type="http://schemas.openxmlformats.org/officeDocument/2006/relationships/hyperlink" Target="https://wasl.uwaterloo.ca/" TargetMode="External"/><Relationship Id="rId1" Type="http://schemas.openxmlformats.org/officeDocument/2006/relationships/hyperlink" Target="https://innovationpartnerships.umich.edu/" TargetMode="External"/><Relationship Id="rId2" Type="http://schemas.openxmlformats.org/officeDocument/2006/relationships/hyperlink" Target="https://www.lsi.umich.edu/" TargetMode="External"/><Relationship Id="rId3" Type="http://schemas.openxmlformats.org/officeDocument/2006/relationships/hyperlink" Target="https://mcity.umich.edu/" TargetMode="External"/><Relationship Id="rId4" Type="http://schemas.openxmlformats.org/officeDocument/2006/relationships/hyperlink" Target="https://www.tsrlinc.com/" TargetMode="External"/><Relationship Id="rId9" Type="http://schemas.openxmlformats.org/officeDocument/2006/relationships/hyperlink" Target="https://www.uoguelph.ca/research/innovation/" TargetMode="External"/><Relationship Id="rId5" Type="http://schemas.openxmlformats.org/officeDocument/2006/relationships/hyperlink" Target="https://detroit.umich.edu/umci/" TargetMode="External"/><Relationship Id="rId6" Type="http://schemas.openxmlformats.org/officeDocument/2006/relationships/hyperlink" Target="https://research.wayne.edu/key-research" TargetMode="External"/><Relationship Id="rId7" Type="http://schemas.openxmlformats.org/officeDocument/2006/relationships/hyperlink" Target="https://techtransfer.wayne.edu/" TargetMode="External"/><Relationship Id="rId8" Type="http://schemas.openxmlformats.org/officeDocument/2006/relationships/hyperlink" Target="https://www.mtu.edu/research/innovation/mtrac/" TargetMode="External"/></Relationships>
</file>

<file path=xl/worksheets/_rels/sheet5.xml.rels><?xml version="1.0" encoding="UTF-8" standalone="yes"?><Relationships xmlns="http://schemas.openxmlformats.org/package/2006/relationships"><Relationship Id="rId20" Type="http://schemas.openxmlformats.org/officeDocument/2006/relationships/hyperlink" Target="https://www.michigancapitalnetwork.com/" TargetMode="External"/><Relationship Id="rId22" Type="http://schemas.openxmlformats.org/officeDocument/2006/relationships/hyperlink" Target="https://foresightcac.com/" TargetMode="External"/><Relationship Id="rId21" Type="http://schemas.openxmlformats.org/officeDocument/2006/relationships/hyperlink" Target="https://www.gtan.ca/" TargetMode="External"/><Relationship Id="rId24" Type="http://schemas.openxmlformats.org/officeDocument/2006/relationships/hyperlink" Target="https://weangelnetwork.com/" TargetMode="External"/><Relationship Id="rId23" Type="http://schemas.openxmlformats.org/officeDocument/2006/relationships/hyperlink" Target="https://www.cybernorthventures.com/" TargetMode="External"/><Relationship Id="rId26" Type="http://schemas.openxmlformats.org/officeDocument/2006/relationships/hyperlink" Target="https://mapleleafangels.com/" TargetMode="External"/><Relationship Id="rId25" Type="http://schemas.openxmlformats.org/officeDocument/2006/relationships/hyperlink" Target="https://www.investontario.ca/" TargetMode="External"/><Relationship Id="rId28" Type="http://schemas.openxmlformats.org/officeDocument/2006/relationships/hyperlink" Target="https://www.angelonenetwork.ca/" TargetMode="External"/><Relationship Id="rId27" Type="http://schemas.openxmlformats.org/officeDocument/2006/relationships/hyperlink" Target="https://www.bdc.ca/en/bdc-capital" TargetMode="External"/><Relationship Id="rId29" Type="http://schemas.openxmlformats.org/officeDocument/2006/relationships/drawing" Target="../drawings/drawing5.xml"/><Relationship Id="rId11" Type="http://schemas.openxmlformats.org/officeDocument/2006/relationships/hyperlink" Target="https://michiganvca.org/investor/red-cedar-ventures-msu/" TargetMode="External"/><Relationship Id="rId10" Type="http://schemas.openxmlformats.org/officeDocument/2006/relationships/hyperlink" Target="https://www.fontinalis.com/" TargetMode="External"/><Relationship Id="rId13" Type="http://schemas.openxmlformats.org/officeDocument/2006/relationships/hyperlink" Target="https://assemblyventures.com/" TargetMode="External"/><Relationship Id="rId12" Type="http://schemas.openxmlformats.org/officeDocument/2006/relationships/hyperlink" Target="https://www.beringea.com/" TargetMode="External"/><Relationship Id="rId15" Type="http://schemas.openxmlformats.org/officeDocument/2006/relationships/hyperlink" Target="https://www.bellefunds.com/" TargetMode="External"/><Relationship Id="rId14" Type="http://schemas.openxmlformats.org/officeDocument/2006/relationships/hyperlink" Target="https://www.augmentventures.com/" TargetMode="External"/><Relationship Id="rId17" Type="http://schemas.openxmlformats.org/officeDocument/2006/relationships/hyperlink" Target="https://www.ludlowventures.com/" TargetMode="External"/><Relationship Id="rId16" Type="http://schemas.openxmlformats.org/officeDocument/2006/relationships/hyperlink" Target="https://www.detroit.vc/" TargetMode="External"/><Relationship Id="rId19" Type="http://schemas.openxmlformats.org/officeDocument/2006/relationships/hyperlink" Target="https://www.miangelfund.com/" TargetMode="External"/><Relationship Id="rId18" Type="http://schemas.openxmlformats.org/officeDocument/2006/relationships/hyperlink" Target="https://www.mercuryfund.com/" TargetMode="External"/><Relationship Id="rId1" Type="http://schemas.openxmlformats.org/officeDocument/2006/relationships/hyperlink" Target="https://www.arboretumvc.com/" TargetMode="External"/><Relationship Id="rId2" Type="http://schemas.openxmlformats.org/officeDocument/2006/relationships/hyperlink" Target="https://www.michiganrise.org/" TargetMode="External"/><Relationship Id="rId3" Type="http://schemas.openxmlformats.org/officeDocument/2006/relationships/hyperlink" Target="http://www.amherstfund.com/" TargetMode="External"/><Relationship Id="rId4" Type="http://schemas.openxmlformats.org/officeDocument/2006/relationships/hyperlink" Target="https://birminghamangels.org/" TargetMode="External"/><Relationship Id="rId9" Type="http://schemas.openxmlformats.org/officeDocument/2006/relationships/hyperlink" Target="https://investdetroit.com/" TargetMode="External"/><Relationship Id="rId5" Type="http://schemas.openxmlformats.org/officeDocument/2006/relationships/hyperlink" Target="https://michiganvca.org/" TargetMode="External"/><Relationship Id="rId6" Type="http://schemas.openxmlformats.org/officeDocument/2006/relationships/hyperlink" Target="https://www.rbequity.com/" TargetMode="External"/><Relationship Id="rId7" Type="http://schemas.openxmlformats.org/officeDocument/2006/relationships/hyperlink" Target="https://neweconomyinitiative.org/" TargetMode="External"/><Relationship Id="rId8" Type="http://schemas.openxmlformats.org/officeDocument/2006/relationships/hyperlink" Target="https://idventures.com/" TargetMode="External"/></Relationships>
</file>

<file path=xl/worksheets/_rels/sheet6.xml.rels><?xml version="1.0" encoding="UTF-8" standalone="yes"?><Relationships xmlns="http://schemas.openxmlformats.org/package/2006/relationships"><Relationship Id="rId11" Type="http://schemas.openxmlformats.org/officeDocument/2006/relationships/hyperlink" Target="https://socialinnovation.org/" TargetMode="External"/><Relationship Id="rId10" Type="http://schemas.openxmlformats.org/officeDocument/2006/relationships/hyperlink" Target="https://marsdd.com/" TargetMode="External"/><Relationship Id="rId13" Type="http://schemas.openxmlformats.org/officeDocument/2006/relationships/hyperlink" Target="https://www.tourisminnovation.ca/" TargetMode="External"/><Relationship Id="rId12" Type="http://schemas.openxmlformats.org/officeDocument/2006/relationships/hyperlink" Target="https://www.hackf.org/" TargetMode="External"/><Relationship Id="rId15" Type="http://schemas.openxmlformats.org/officeDocument/2006/relationships/hyperlink" Target="https://www.oc-innovation.ca" TargetMode="External"/><Relationship Id="rId14" Type="http://schemas.openxmlformats.org/officeDocument/2006/relationships/hyperlink" Target="https://www.indigenousinnovate.org/" TargetMode="External"/><Relationship Id="rId17" Type="http://schemas.openxmlformats.org/officeDocument/2006/relationships/drawing" Target="../drawings/drawing6.xml"/><Relationship Id="rId16" Type="http://schemas.openxmlformats.org/officeDocument/2006/relationships/hyperlink" Target="https://www.mitacs.ca/" TargetMode="External"/><Relationship Id="rId1" Type="http://schemas.openxmlformats.org/officeDocument/2006/relationships/hyperlink" Target="https://www.ferriswheelflint.com/" TargetMode="External"/><Relationship Id="rId2" Type="http://schemas.openxmlformats.org/officeDocument/2006/relationships/hyperlink" Target="https://www.midwesthouse.org/" TargetMode="External"/><Relationship Id="rId3" Type="http://schemas.openxmlformats.org/officeDocument/2006/relationships/hyperlink" Target="https://www.techplace.ca/" TargetMode="External"/><Relationship Id="rId4" Type="http://schemas.openxmlformats.org/officeDocument/2006/relationships/hyperlink" Target="https://www.launchlab.ca/" TargetMode="External"/><Relationship Id="rId9" Type="http://schemas.openxmlformats.org/officeDocument/2006/relationships/hyperlink" Target="https://www.innovateniagara.com/site/home" TargetMode="External"/><Relationship Id="rId5" Type="http://schemas.openxmlformats.org/officeDocument/2006/relationships/hyperlink" Target="https://medicalinnovationxchange.com/" TargetMode="External"/><Relationship Id="rId6" Type="http://schemas.openxmlformats.org/officeDocument/2006/relationships/hyperlink" Target="https://www.norcat.org/innovation/" TargetMode="External"/><Relationship Id="rId7" Type="http://schemas.openxmlformats.org/officeDocument/2006/relationships/hyperlink" Target="https://nfinnovationhub.ca/" TargetMode="External"/><Relationship Id="rId8" Type="http://schemas.openxmlformats.org/officeDocument/2006/relationships/hyperlink" Target="https://www.bincanada.ca/" TargetMode="External"/></Relationships>
</file>

<file path=xl/worksheets/_rels/sheet7.xml.rels><?xml version="1.0" encoding="UTF-8" standalone="yes"?><Relationships xmlns="http://schemas.openxmlformats.org/package/2006/relationships"><Relationship Id="rId10" Type="http://schemas.openxmlformats.org/officeDocument/2006/relationships/drawing" Target="../drawings/drawing7.xml"/><Relationship Id="rId1" Type="http://schemas.openxmlformats.org/officeDocument/2006/relationships/hyperlink" Target="https://www.score.org/annarborarea" TargetMode="External"/><Relationship Id="rId2" Type="http://schemas.openxmlformats.org/officeDocument/2006/relationships/hyperlink" Target="https://www.buildinstitute.org/" TargetMode="External"/><Relationship Id="rId3" Type="http://schemas.openxmlformats.org/officeDocument/2006/relationships/hyperlink" Target="https://prosperusdetroit.org/" TargetMode="External"/><Relationship Id="rId4" Type="http://schemas.openxmlformats.org/officeDocument/2006/relationships/hyperlink" Target="https://michiganfoundersfund.org/" TargetMode="External"/><Relationship Id="rId9" Type="http://schemas.openxmlformats.org/officeDocument/2006/relationships/hyperlink" Target="https://www.risehelps.ca/" TargetMode="External"/><Relationship Id="rId5" Type="http://schemas.openxmlformats.org/officeDocument/2006/relationships/hyperlink" Target="https://altitudeaccelerator.ca/" TargetMode="External"/><Relationship Id="rId6" Type="http://schemas.openxmlformats.org/officeDocument/2006/relationships/hyperlink" Target="https://www.chatham-kent.ca/EconomicDevelopment/yourbusiness/Pages/Locations.aspx" TargetMode="External"/><Relationship Id="rId7" Type="http://schemas.openxmlformats.org/officeDocument/2006/relationships/hyperlink" Target="https://pillarnonprofit.ca/" TargetMode="External"/><Relationship Id="rId8" Type="http://schemas.openxmlformats.org/officeDocument/2006/relationships/hyperlink" Target="https://www.nextcanada.com/"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detroitchamber.com/" TargetMode="External"/><Relationship Id="rId2" Type="http://schemas.openxmlformats.org/officeDocument/2006/relationships/hyperlink" Target="https://www.sbam.org/" TargetMode="External"/><Relationship Id="rId3" Type="http://schemas.openxmlformats.org/officeDocument/2006/relationships/hyperlink" Target="https://www.lansingchamber.org/" TargetMode="External"/><Relationship Id="rId4" Type="http://schemas.openxmlformats.org/officeDocument/2006/relationships/hyperlink" Target="https://www.toronto-bia.com/" TargetMode="External"/><Relationship Id="rId5" Type="http://schemas.openxmlformats.org/officeDocument/2006/relationships/hyperlink" Target="https://occ.ca/" TargetMode="External"/><Relationship Id="rId6" Type="http://schemas.openxmlformats.org/officeDocument/2006/relationships/hyperlink" Target="https://wechamber.org/" TargetMode="External"/><Relationship Id="rId7"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annarborusa.org/" TargetMode="External"/><Relationship Id="rId2" Type="http://schemas.openxmlformats.org/officeDocument/2006/relationships/hyperlink" Target="https://www.michiganbusiness.org/" TargetMode="External"/><Relationship Id="rId3" Type="http://schemas.openxmlformats.org/officeDocument/2006/relationships/hyperlink" Target="https://gemdetroitregion.com/" TargetMode="External"/><Relationship Id="rId4" Type="http://schemas.openxmlformats.org/officeDocument/2006/relationships/hyperlink" Target="https://www.chatham-kent.ca/EconomicDevelopment/Pages/default.aspx" TargetMode="External"/><Relationship Id="rId5" Type="http://schemas.openxmlformats.org/officeDocument/2006/relationships/hyperlink" Target="https://www.ledc.com/" TargetMode="External"/><Relationship Id="rId6" Type="http://schemas.openxmlformats.org/officeDocument/2006/relationships/hyperlink" Target="https://www.investwindsoressex.com/" TargetMode="External"/><Relationship Id="rId7"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brampton.ca/EN/Business/BEC/Pages/Welcome.aspx" TargetMode="External"/><Relationship Id="rId2" Type="http://schemas.openxmlformats.org/officeDocument/2006/relationships/hyperlink" Target="https://investinhamilton.ca/hamilton-business-centre/" TargetMode="External"/><Relationship Id="rId3" Type="http://schemas.openxmlformats.org/officeDocument/2006/relationships/hyperlink" Target="https://sbcentre.ca/" TargetMode="External"/><Relationship Id="rId4" Type="http://schemas.openxmlformats.org/officeDocument/2006/relationships/hyperlink" Target="https://www.ideamississauga.ca/" TargetMode="External"/><Relationship Id="rId5" Type="http://schemas.openxmlformats.org/officeDocument/2006/relationships/hyperlink" Target="https://www.toronto.ca/business-economy/new-businesses-startups/small-business-support/" TargetMode="External"/><Relationship Id="rId6" Type="http://schemas.openxmlformats.org/officeDocument/2006/relationships/hyperlink" Target="https://www.webusinesscentre.com/" TargetMode="External"/><Relationship Id="rId7"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ecotek-us.com/" TargetMode="External"/><Relationship Id="rId2" Type="http://schemas.openxmlformats.org/officeDocument/2006/relationships/hyperlink" Target="https://100kideas.org/" TargetMode="External"/><Relationship Id="rId3" Type="http://schemas.openxmlformats.org/officeDocument/2006/relationships/hyperlink" Target="https://www.businessleadersformichigan.com/" TargetMode="External"/><Relationship Id="rId4" Type="http://schemas.openxmlformats.org/officeDocument/2006/relationships/hyperlink" Target="http://10ksbdetroit.com/" TargetMode="External"/><Relationship Id="rId5"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40" Type="http://schemas.openxmlformats.org/officeDocument/2006/relationships/hyperlink" Target="https://100kideas.org/" TargetMode="External"/><Relationship Id="rId42" Type="http://schemas.openxmlformats.org/officeDocument/2006/relationships/hyperlink" Target="https://michauto.org/innovate-michigan/" TargetMode="External"/><Relationship Id="rId41" Type="http://schemas.openxmlformats.org/officeDocument/2006/relationships/hyperlink" Target="https://www.detroitchamber.com/" TargetMode="External"/><Relationship Id="rId44" Type="http://schemas.openxmlformats.org/officeDocument/2006/relationships/hyperlink" Target="https://www.fontinalis.com/" TargetMode="External"/><Relationship Id="rId43" Type="http://schemas.openxmlformats.org/officeDocument/2006/relationships/hyperlink" Target="https://www.michauto.org/" TargetMode="External"/><Relationship Id="rId46" Type="http://schemas.openxmlformats.org/officeDocument/2006/relationships/hyperlink" Target="https://www.parkerdewey.com/" TargetMode="External"/><Relationship Id="rId45" Type="http://schemas.openxmlformats.org/officeDocument/2006/relationships/hyperlink" Target="https://techtransfer.wayne.edu/" TargetMode="External"/><Relationship Id="rId48" Type="http://schemas.openxmlformats.org/officeDocument/2006/relationships/hyperlink" Target="https://msufoundation.org/" TargetMode="External"/><Relationship Id="rId47" Type="http://schemas.openxmlformats.org/officeDocument/2006/relationships/hyperlink" Target="https://michiganvca.org/investor/red-cedar-ventures-msu/" TargetMode="External"/><Relationship Id="rId49" Type="http://schemas.openxmlformats.org/officeDocument/2006/relationships/hyperlink" Target="https://innovationcenter.msu.edu/" TargetMode="External"/><Relationship Id="rId31" Type="http://schemas.openxmlformats.org/officeDocument/2006/relationships/hyperlink" Target="https://neweconomyinitiative.org/" TargetMode="External"/><Relationship Id="rId30" Type="http://schemas.openxmlformats.org/officeDocument/2006/relationships/hyperlink" Target="https://www.michiganbusiness.org/ofme/" TargetMode="External"/><Relationship Id="rId33" Type="http://schemas.openxmlformats.org/officeDocument/2006/relationships/hyperlink" Target="https://idventures.com/" TargetMode="External"/><Relationship Id="rId32" Type="http://schemas.openxmlformats.org/officeDocument/2006/relationships/hyperlink" Target="https://wayne.edu/" TargetMode="External"/><Relationship Id="rId35" Type="http://schemas.openxmlformats.org/officeDocument/2006/relationships/hyperlink" Target="https://www.techtowndetroit.org/" TargetMode="External"/><Relationship Id="rId34" Type="http://schemas.openxmlformats.org/officeDocument/2006/relationships/hyperlink" Target="https://prosperusdetroit.org/" TargetMode="External"/><Relationship Id="rId37" Type="http://schemas.openxmlformats.org/officeDocument/2006/relationships/hyperlink" Target="https://www.detroitmeansbusiness.org/" TargetMode="External"/><Relationship Id="rId36" Type="http://schemas.openxmlformats.org/officeDocument/2006/relationships/hyperlink" Target="https://ecotek-us.com/" TargetMode="External"/><Relationship Id="rId39" Type="http://schemas.openxmlformats.org/officeDocument/2006/relationships/hyperlink" Target="https://investdetroit.com/" TargetMode="External"/><Relationship Id="rId38" Type="http://schemas.openxmlformats.org/officeDocument/2006/relationships/hyperlink" Target="https://www.degc.org/" TargetMode="External"/><Relationship Id="rId20" Type="http://schemas.openxmlformats.org/officeDocument/2006/relationships/hyperlink" Target="https://www.techstars.com/accelerators" TargetMode="External"/><Relationship Id="rId22" Type="http://schemas.openxmlformats.org/officeDocument/2006/relationships/hyperlink" Target="https://www.rbequity.com/" TargetMode="External"/><Relationship Id="rId21" Type="http://schemas.openxmlformats.org/officeDocument/2006/relationships/hyperlink" Target="https://urbantechxchange.com/" TargetMode="External"/><Relationship Id="rId24" Type="http://schemas.openxmlformats.org/officeDocument/2006/relationships/hyperlink" Target="https://www.500.co/" TargetMode="External"/><Relationship Id="rId23" Type="http://schemas.openxmlformats.org/officeDocument/2006/relationships/hyperlink" Target="https://www.buildinstitute.org/" TargetMode="External"/><Relationship Id="rId26" Type="http://schemas.openxmlformats.org/officeDocument/2006/relationships/hyperlink" Target="https://www.detroitmi.gov/" TargetMode="External"/><Relationship Id="rId25" Type="http://schemas.openxmlformats.org/officeDocument/2006/relationships/hyperlink" Target="https://www.detroitsmartparkinglab.org/" TargetMode="External"/><Relationship Id="rId28" Type="http://schemas.openxmlformats.org/officeDocument/2006/relationships/hyperlink" Target="https://www.globaldetroitmi.org/" TargetMode="External"/><Relationship Id="rId27" Type="http://schemas.openxmlformats.org/officeDocument/2006/relationships/hyperlink" Target="https://www.newlab.com/" TargetMode="External"/><Relationship Id="rId29" Type="http://schemas.openxmlformats.org/officeDocument/2006/relationships/hyperlink" Target="https://detroit.umich.edu/umci/" TargetMode="External"/><Relationship Id="rId11" Type="http://schemas.openxmlformats.org/officeDocument/2006/relationships/hyperlink" Target="https://www.tsrlinc.com/" TargetMode="External"/><Relationship Id="rId10" Type="http://schemas.openxmlformats.org/officeDocument/2006/relationships/hyperlink" Target="http://www.amherstfund.com/" TargetMode="External"/><Relationship Id="rId13" Type="http://schemas.openxmlformats.org/officeDocument/2006/relationships/hyperlink" Target="https://www.merit.edu/" TargetMode="External"/><Relationship Id="rId12" Type="http://schemas.openxmlformats.org/officeDocument/2006/relationships/hyperlink" Target="https://desaiaccelerator.umich.edu/" TargetMode="External"/><Relationship Id="rId15" Type="http://schemas.openxmlformats.org/officeDocument/2006/relationships/hyperlink" Target="https://michiganvca.org/" TargetMode="External"/><Relationship Id="rId14" Type="http://schemas.openxmlformats.org/officeDocument/2006/relationships/hyperlink" Target="https://birminghamangels.org/" TargetMode="External"/><Relationship Id="rId17" Type="http://schemas.openxmlformats.org/officeDocument/2006/relationships/hyperlink" Target="https://www.protoaccelerator.com/" TargetMode="External"/><Relationship Id="rId16" Type="http://schemas.openxmlformats.org/officeDocument/2006/relationships/hyperlink" Target="https://www.angelonenetwork.ca/" TargetMode="External"/><Relationship Id="rId19" Type="http://schemas.openxmlformats.org/officeDocument/2006/relationships/hyperlink" Target="https://lift.technology/" TargetMode="External"/><Relationship Id="rId18" Type="http://schemas.openxmlformats.org/officeDocument/2006/relationships/hyperlink" Target="https://www.detroitregionalpartnership.com/" TargetMode="External"/><Relationship Id="rId84" Type="http://schemas.openxmlformats.org/officeDocument/2006/relationships/hyperlink" Target="https://www.techplace.ca/" TargetMode="External"/><Relationship Id="rId83" Type="http://schemas.openxmlformats.org/officeDocument/2006/relationships/hyperlink" Target="https://students.wlu.ca/work-leadership-and-volunteering/entrepreneurship/launchpad-brantford/index.html" TargetMode="External"/><Relationship Id="rId86" Type="http://schemas.openxmlformats.org/officeDocument/2006/relationships/hyperlink" Target="https://www.chatham-kent.ca/EconomicDevelopment/Pages/default.aspx" TargetMode="External"/><Relationship Id="rId85" Type="http://schemas.openxmlformats.org/officeDocument/2006/relationships/hyperlink" Target="https://www.ctma.com/" TargetMode="External"/><Relationship Id="rId88" Type="http://schemas.openxmlformats.org/officeDocument/2006/relationships/hyperlink" Target="https://soarinnovation.com/" TargetMode="External"/><Relationship Id="rId150" Type="http://schemas.openxmlformats.org/officeDocument/2006/relationships/hyperlink" Target="https://www.investwindsoressex.com/" TargetMode="External"/><Relationship Id="rId87" Type="http://schemas.openxmlformats.org/officeDocument/2006/relationships/hyperlink" Target="https://www.chatham-kent.ca/EconomicDevelopment/yourbusiness/Pages/Locations.aspx" TargetMode="External"/><Relationship Id="rId89" Type="http://schemas.openxmlformats.org/officeDocument/2006/relationships/hyperlink" Target="https://cfessexcounty.ca/" TargetMode="External"/><Relationship Id="rId80" Type="http://schemas.openxmlformats.org/officeDocument/2006/relationships/hyperlink" Target="https://altitudeaccelerator.ca/" TargetMode="External"/><Relationship Id="rId82" Type="http://schemas.openxmlformats.org/officeDocument/2006/relationships/hyperlink" Target="https://www.brantford.ca/en/business-and-development/business-resource-centre.aspx" TargetMode="External"/><Relationship Id="rId81" Type="http://schemas.openxmlformats.org/officeDocument/2006/relationships/hyperlink" Target="https://cybersecurecatalyst.ca/" TargetMode="External"/><Relationship Id="rId1" Type="http://schemas.openxmlformats.org/officeDocument/2006/relationships/hyperlink" Target="https://www.score.org/annarborarea" TargetMode="External"/><Relationship Id="rId2" Type="http://schemas.openxmlformats.org/officeDocument/2006/relationships/hyperlink" Target="https://innovationpartnerships.umich.edu/" TargetMode="External"/><Relationship Id="rId3" Type="http://schemas.openxmlformats.org/officeDocument/2006/relationships/hyperlink" Target="https://innovationpartnerships.umich.edu/" TargetMode="External"/><Relationship Id="rId149" Type="http://schemas.openxmlformats.org/officeDocument/2006/relationships/hyperlink" Target="https://qvideaslab.ca/" TargetMode="External"/><Relationship Id="rId4" Type="http://schemas.openxmlformats.org/officeDocument/2006/relationships/hyperlink" Target="https://www.arboretumvc.com/" TargetMode="External"/><Relationship Id="rId148" Type="http://schemas.openxmlformats.org/officeDocument/2006/relationships/hyperlink" Target="https://rtpark.uwaterloo.ca/" TargetMode="External"/><Relationship Id="rId9" Type="http://schemas.openxmlformats.org/officeDocument/2006/relationships/hyperlink" Target="https://annarborusa.org/" TargetMode="External"/><Relationship Id="rId143" Type="http://schemas.openxmlformats.org/officeDocument/2006/relationships/hyperlink" Target="https://uwaterloo.ca/waterloo-advanced-technology-laboratory" TargetMode="External"/><Relationship Id="rId142" Type="http://schemas.openxmlformats.org/officeDocument/2006/relationships/hyperlink" Target="https://wasl.uwaterloo.ca/" TargetMode="External"/><Relationship Id="rId141" Type="http://schemas.openxmlformats.org/officeDocument/2006/relationships/hyperlink" Target="https://uwaterloo.ca/microelectronics-heat-transfer-laboratory/" TargetMode="External"/><Relationship Id="rId140" Type="http://schemas.openxmlformats.org/officeDocument/2006/relationships/hyperlink" Target="https://uwaterloo.ca/institute-for-quantum-computing" TargetMode="External"/><Relationship Id="rId5" Type="http://schemas.openxmlformats.org/officeDocument/2006/relationships/hyperlink" Target="https://www.lsi.umich.edu/" TargetMode="External"/><Relationship Id="rId147" Type="http://schemas.openxmlformats.org/officeDocument/2006/relationships/hyperlink" Target="https://www.perimeterinstitute.ca/" TargetMode="External"/><Relationship Id="rId6" Type="http://schemas.openxmlformats.org/officeDocument/2006/relationships/hyperlink" Target="https://mcity.umich.edu/" TargetMode="External"/><Relationship Id="rId146" Type="http://schemas.openxmlformats.org/officeDocument/2006/relationships/hyperlink" Target="https://www.acceleratorcentre.com/" TargetMode="External"/><Relationship Id="rId7" Type="http://schemas.openxmlformats.org/officeDocument/2006/relationships/hyperlink" Target="https://www.ncms.org/" TargetMode="External"/><Relationship Id="rId145" Type="http://schemas.openxmlformats.org/officeDocument/2006/relationships/hyperlink" Target="https://uwaterloo.ca/institute-for-quantum-computing" TargetMode="External"/><Relationship Id="rId8" Type="http://schemas.openxmlformats.org/officeDocument/2006/relationships/hyperlink" Target="https://www.michiganrise.org/" TargetMode="External"/><Relationship Id="rId144" Type="http://schemas.openxmlformats.org/officeDocument/2006/relationships/hyperlink" Target="https://uwaterloo.ca/institute-nanotechnology" TargetMode="External"/><Relationship Id="rId73" Type="http://schemas.openxmlformats.org/officeDocument/2006/relationships/hyperlink" Target="https://www.mercuryfund.com/" TargetMode="External"/><Relationship Id="rId72" Type="http://schemas.openxmlformats.org/officeDocument/2006/relationships/hyperlink" Target="https://www.ludlowventures.com/" TargetMode="External"/><Relationship Id="rId75" Type="http://schemas.openxmlformats.org/officeDocument/2006/relationships/hyperlink" Target="https://www.michigancapitalnetwork.com/" TargetMode="External"/><Relationship Id="rId74" Type="http://schemas.openxmlformats.org/officeDocument/2006/relationships/hyperlink" Target="https://www.miangelfund.com/" TargetMode="External"/><Relationship Id="rId77" Type="http://schemas.openxmlformats.org/officeDocument/2006/relationships/hyperlink" Target="https://www.midwesthouse.org/" TargetMode="External"/><Relationship Id="rId76" Type="http://schemas.openxmlformats.org/officeDocument/2006/relationships/hyperlink" Target="https://michiganfoundersfund.org/" TargetMode="External"/><Relationship Id="rId79" Type="http://schemas.openxmlformats.org/officeDocument/2006/relationships/hyperlink" Target="https://www.brampton.ca/EN/Business/BEC/Pages/Welcome.aspx" TargetMode="External"/><Relationship Id="rId78" Type="http://schemas.openxmlformats.org/officeDocument/2006/relationships/hyperlink" Target="https://www.michigan.gov/leo/initiatives/mi-small-business" TargetMode="External"/><Relationship Id="rId71" Type="http://schemas.openxmlformats.org/officeDocument/2006/relationships/hyperlink" Target="https://10ksbapply.com/" TargetMode="External"/><Relationship Id="rId70" Type="http://schemas.openxmlformats.org/officeDocument/2006/relationships/hyperlink" Target="https://gemdetroitregion.com/" TargetMode="External"/><Relationship Id="rId139" Type="http://schemas.openxmlformats.org/officeDocument/2006/relationships/hyperlink" Target="https://linkprotect.cudasvc.com/url?a=http%3a%2f%2fwww.vinelandresearch.com&amp;c=E,1,J--ffz6migXfvwcuZyGbISO73s2ebGipNeWYYD51ZnrqotNRBtp51xqdzK2UzA3pMzToQQ9njTh-E80eqg3-iOQXGvb2K2YkaboCssz60BobdO7Av9q-dXgz&amp;typo=1" TargetMode="External"/><Relationship Id="rId138" Type="http://schemas.openxmlformats.org/officeDocument/2006/relationships/hyperlink" Target="https://linkprotect.cudasvc.com/url?a=https%3a%2f%2fccab.com&amp;c=E,1,Ns2g02-41EunN9o2WYZB-1bnP1XWYRYEgOHYgMKJR24P19ZL2ecyMZ2XxqUrltURXb4Tt4gZgKUr24hGGo2sk6P_zGkZbANh-JgJGF9I&amp;typo=1&amp;ancr_add=1" TargetMode="External"/><Relationship Id="rId137" Type="http://schemas.openxmlformats.org/officeDocument/2006/relationships/hyperlink" Target="https://occ.ca/" TargetMode="External"/><Relationship Id="rId132" Type="http://schemas.openxmlformats.org/officeDocument/2006/relationships/hyperlink" Target="https://www.cybernorthventures.com/" TargetMode="External"/><Relationship Id="rId131" Type="http://schemas.openxmlformats.org/officeDocument/2006/relationships/hyperlink" Target="https://dmz.torontomu.ca/" TargetMode="External"/><Relationship Id="rId130" Type="http://schemas.openxmlformats.org/officeDocument/2006/relationships/hyperlink" Target="https://www.innovation.ca/" TargetMode="External"/><Relationship Id="rId136" Type="http://schemas.openxmlformats.org/officeDocument/2006/relationships/hyperlink" Target="https://www.toronto.ca/business-economy/new-businesses-startups/small-business-support/" TargetMode="External"/><Relationship Id="rId135" Type="http://schemas.openxmlformats.org/officeDocument/2006/relationships/hyperlink" Target="https://www.creativedestructionlab.com/" TargetMode="External"/><Relationship Id="rId134" Type="http://schemas.openxmlformats.org/officeDocument/2006/relationships/hyperlink" Target="https://linkprotect.cudasvc.com/url?a=https%3a%2f%2fsocialinnovation.org&amp;c=E,1,2G64UzDeosznAU2IlnzGXROJRP2nQ96dgCgYT4Zo4AwSxD-KpYwAsTWj9QkokLEvg7SsV41OjrnhwKEVpkW0pVc9cV4QrFEYSQVFizfXvI4USI2fAoKUSjE3lL0,&amp;typo=1&amp;ancr_add=1" TargetMode="External"/><Relationship Id="rId133" Type="http://schemas.openxmlformats.org/officeDocument/2006/relationships/hyperlink" Target="https://www.yorku.ca/research/innovation-partnerships/" TargetMode="External"/><Relationship Id="rId62" Type="http://schemas.openxmlformats.org/officeDocument/2006/relationships/hyperlink" Target="https://www.centrepolisaccelerator.com/" TargetMode="External"/><Relationship Id="rId61" Type="http://schemas.openxmlformats.org/officeDocument/2006/relationships/hyperlink" Target="https://www.centrepolisaccelerator.com/" TargetMode="External"/><Relationship Id="rId64" Type="http://schemas.openxmlformats.org/officeDocument/2006/relationships/hyperlink" Target="https://www.sbdcmichigan.org/" TargetMode="External"/><Relationship Id="rId63" Type="http://schemas.openxmlformats.org/officeDocument/2006/relationships/hyperlink" Target="https://www.automationalley.com/" TargetMode="External"/><Relationship Id="rId66" Type="http://schemas.openxmlformats.org/officeDocument/2006/relationships/hyperlink" Target="https://www.augmentventures.com/" TargetMode="External"/><Relationship Id="rId65" Type="http://schemas.openxmlformats.org/officeDocument/2006/relationships/hyperlink" Target="https://assemblyventures.com/" TargetMode="External"/><Relationship Id="rId68" Type="http://schemas.openxmlformats.org/officeDocument/2006/relationships/hyperlink" Target="https://www.businessleadersformichigan.com/" TargetMode="External"/><Relationship Id="rId67" Type="http://schemas.openxmlformats.org/officeDocument/2006/relationships/hyperlink" Target="https://www.bellefunds.com/" TargetMode="External"/><Relationship Id="rId60" Type="http://schemas.openxmlformats.org/officeDocument/2006/relationships/hyperlink" Target="https://www.oakland.edu/ouinc/" TargetMode="External"/><Relationship Id="rId165" Type="http://schemas.openxmlformats.org/officeDocument/2006/relationships/hyperlink" Target="https://weangelnetwork.com/" TargetMode="External"/><Relationship Id="rId69" Type="http://schemas.openxmlformats.org/officeDocument/2006/relationships/hyperlink" Target="https://www.detroit.vc/" TargetMode="External"/><Relationship Id="rId164" Type="http://schemas.openxmlformats.org/officeDocument/2006/relationships/hyperlink" Target="https://linkprotect.cudasvc.com/url?a=http%3a%2f%2fwww.tourisminnovation.ca&amp;c=E,1,VNRLG23BQd9Xi3HdbP8pQXiBkRicv8xjwnnQ7Nb2zfo0j9ZoCu8ZyMW8PhS13jPcQHRhi4RshlEjYvYL2wgd5aMcwq6TXlnsONPUFCfJg4z_ylHjgA,,&amp;typo=1" TargetMode="External"/><Relationship Id="rId163" Type="http://schemas.openxmlformats.org/officeDocument/2006/relationships/hyperlink" Target="https://www.uwindsor.ca/idir/" TargetMode="External"/><Relationship Id="rId162" Type="http://schemas.openxmlformats.org/officeDocument/2006/relationships/hyperlink" Target="https://www.uwindsor.ca/engineering/research" TargetMode="External"/><Relationship Id="rId169" Type="http://schemas.openxmlformats.org/officeDocument/2006/relationships/drawing" Target="../drawings/drawing12.xml"/><Relationship Id="rId168" Type="http://schemas.openxmlformats.org/officeDocument/2006/relationships/hyperlink" Target="https://linkprotect.cudasvc.com/url?a=https%3a%2f%2findigenousinnovate.org&amp;c=E,1,YUVxiiifTSQyzdsrqP5mM8FvmJXjUe3ooblBPspCzoDGAFZubrqFKrVlU8yRjx9ZjXv0K_v-Ghvb_1MsfZ0ebsAOUovrjy3uBL1MdSNfHPzU&amp;typo=1&amp;ancr_add=1" TargetMode="External"/><Relationship Id="rId167" Type="http://schemas.openxmlformats.org/officeDocument/2006/relationships/hyperlink" Target="https://seontario.org/" TargetMode="External"/><Relationship Id="rId166" Type="http://schemas.openxmlformats.org/officeDocument/2006/relationships/hyperlink" Target="https://www.investontario.ca/" TargetMode="External"/><Relationship Id="rId51" Type="http://schemas.openxmlformats.org/officeDocument/2006/relationships/hyperlink" Target="https://www.beringea.com/" TargetMode="External"/><Relationship Id="rId50" Type="http://schemas.openxmlformats.org/officeDocument/2006/relationships/hyperlink" Target="https://tic.msu.edu/" TargetMode="External"/><Relationship Id="rId53" Type="http://schemas.openxmlformats.org/officeDocument/2006/relationships/hyperlink" Target="https://www.purelansing.com/" TargetMode="External"/><Relationship Id="rId52" Type="http://schemas.openxmlformats.org/officeDocument/2006/relationships/hyperlink" Target="https://www.ferriswheelflint.com/" TargetMode="External"/><Relationship Id="rId55" Type="http://schemas.openxmlformats.org/officeDocument/2006/relationships/hyperlink" Target="https://www.michiganbusiness.org/" TargetMode="External"/><Relationship Id="rId161" Type="http://schemas.openxmlformats.org/officeDocument/2006/relationships/hyperlink" Target="https://www.uwindsor.ca/glier/" TargetMode="External"/><Relationship Id="rId54" Type="http://schemas.openxmlformats.org/officeDocument/2006/relationships/hyperlink" Target="https://www.sbam.org/" TargetMode="External"/><Relationship Id="rId160" Type="http://schemas.openxmlformats.org/officeDocument/2006/relationships/hyperlink" Target="https://www.uwindsor.ca/engineering/research/422/centre-automotive-research-and-education" TargetMode="External"/><Relationship Id="rId57" Type="http://schemas.openxmlformats.org/officeDocument/2006/relationships/hyperlink" Target="https://www.lansingchamber.org/" TargetMode="External"/><Relationship Id="rId56" Type="http://schemas.openxmlformats.org/officeDocument/2006/relationships/hyperlink" Target="https://www.michiganbusiness.org/" TargetMode="External"/><Relationship Id="rId159" Type="http://schemas.openxmlformats.org/officeDocument/2006/relationships/hyperlink" Target="https://www.camm.ca/" TargetMode="External"/><Relationship Id="rId59" Type="http://schemas.openxmlformats.org/officeDocument/2006/relationships/hyperlink" Target="https://www.innovationworks.com/" TargetMode="External"/><Relationship Id="rId154" Type="http://schemas.openxmlformats.org/officeDocument/2006/relationships/hyperlink" Target="https://wetech-alliance.com/" TargetMode="External"/><Relationship Id="rId58" Type="http://schemas.openxmlformats.org/officeDocument/2006/relationships/hyperlink" Target="https://www.mtu.edu/research/innovation/mtrac/" TargetMode="External"/><Relationship Id="rId153" Type="http://schemas.openxmlformats.org/officeDocument/2006/relationships/hyperlink" Target="https://www.apma.ca/" TargetMode="External"/><Relationship Id="rId152" Type="http://schemas.openxmlformats.org/officeDocument/2006/relationships/hyperlink" Target="https://www.stclairresearch.ca/" TargetMode="External"/><Relationship Id="rId151" Type="http://schemas.openxmlformats.org/officeDocument/2006/relationships/hyperlink" Target="https://www.webusinesscentre.com/" TargetMode="External"/><Relationship Id="rId158" Type="http://schemas.openxmlformats.org/officeDocument/2006/relationships/hyperlink" Target="https://www.automatecanada.com/" TargetMode="External"/><Relationship Id="rId157" Type="http://schemas.openxmlformats.org/officeDocument/2006/relationships/hyperlink" Target="https://workforcewindsoressex.com/" TargetMode="External"/><Relationship Id="rId156" Type="http://schemas.openxmlformats.org/officeDocument/2006/relationships/hyperlink" Target="https://www.hackf.org/" TargetMode="External"/><Relationship Id="rId155" Type="http://schemas.openxmlformats.org/officeDocument/2006/relationships/hyperlink" Target="https://wechamber.org/" TargetMode="External"/><Relationship Id="rId107" Type="http://schemas.openxmlformats.org/officeDocument/2006/relationships/hyperlink" Target="https://entrepreneurship.uwo.ca/" TargetMode="External"/><Relationship Id="rId106" Type="http://schemas.openxmlformats.org/officeDocument/2006/relationships/hyperlink" Target="https://www.leapjunction.ca/" TargetMode="External"/><Relationship Id="rId105" Type="http://schemas.openxmlformats.org/officeDocument/2006/relationships/hyperlink" Target="https://linkprotect.cudasvc.com/url?a=https%3a%2f%2fsouthsx.com%2fcenter-horticultural-innovation%2f&amp;c=E,1,Zd50yhCsheIQmvW9ZFWUy2x6s0tra7rxxahDUiSwJ4JfOJ8Cj7sPE9Snvml9Wxx-Cm59Te_touJBfqrJe2W3wZrBxixe5veYDenFyBcRvQ12_bRK&amp;typo=1" TargetMode="External"/><Relationship Id="rId104" Type="http://schemas.openxmlformats.org/officeDocument/2006/relationships/hyperlink" Target="https://linkprotect.cudasvc.com/url?a=https%3a%2f%2fmedicalinnovationxchange.com&amp;c=E,1,z_DnF4N4VhJfyXnG5gEhw87EwqGBEzTJt0L7e2UeeYcBwxG29ZsMgKpOAuKVGXh0UEMAih9wDPaZK4YSFlPm0S93LsXAKPyB9yFsMkPWsx8,&amp;typo=1&amp;ancr_add=1" TargetMode="External"/><Relationship Id="rId109" Type="http://schemas.openxmlformats.org/officeDocument/2006/relationships/hyperlink" Target="https://www.techalliance.ca/" TargetMode="External"/><Relationship Id="rId108" Type="http://schemas.openxmlformats.org/officeDocument/2006/relationships/hyperlink" Target="https://linkprotect.cudasvc.com/url?a=https%3a%2f%2fpillarnonprofit.ca&amp;c=E,1,Vz_o2u_Azjky9cVq6vzKUCxb1uDZM33022-yOMzIdwDJXMa411mZj6vIaMtZoICSbELbN7O9gc_BUzipTnALvPNd89lWoFbcG1bWFwzkyCFVBmM,&amp;typo=1&amp;ancr_add=1" TargetMode="External"/><Relationship Id="rId103" Type="http://schemas.openxmlformats.org/officeDocument/2006/relationships/hyperlink" Target="https://linkprotect.cudasvc.com/url?a=http%3a%2f%2fwww.conestogac.on.ca&amp;c=E,1,sm1ROBF6s2mE9ey8SnDnKaTMJ6CDtxXPa47qq1N0Y5c-LfzFxfpy9QmuBmXMaxBh5Ob-uQIdHHNMvm5KvFw3fhJiT-ufqglozM8oAZtHpv9s0Nrq&amp;typo=1" TargetMode="External"/><Relationship Id="rId102" Type="http://schemas.openxmlformats.org/officeDocument/2006/relationships/hyperlink" Target="https://velocityincubator.ca/" TargetMode="External"/><Relationship Id="rId101" Type="http://schemas.openxmlformats.org/officeDocument/2006/relationships/hyperlink" Target="https://www.gtan.ca/" TargetMode="External"/><Relationship Id="rId100" Type="http://schemas.openxmlformats.org/officeDocument/2006/relationships/hyperlink" Target="https://www.communitech.ca/" TargetMode="External"/><Relationship Id="rId129" Type="http://schemas.openxmlformats.org/officeDocument/2006/relationships/hyperlink" Target="https://torontoglobal.ca/" TargetMode="External"/><Relationship Id="rId128" Type="http://schemas.openxmlformats.org/officeDocument/2006/relationships/hyperlink" Target="https://www.nextcanada.com/" TargetMode="External"/><Relationship Id="rId127" Type="http://schemas.openxmlformats.org/officeDocument/2006/relationships/hyperlink" Target="https://tbdc.com/" TargetMode="External"/><Relationship Id="rId126" Type="http://schemas.openxmlformats.org/officeDocument/2006/relationships/hyperlink" Target="https://linkprotect.cudasvc.com/url?a=https%3a%2f%2f%2f%2fmarsdd.com%2fhealth&amp;c=E,1,1T-6mbsjCrgDAz_Qkuiaegz1tewpVP00-Ba1_Pp7__Aj8sXu9W4c0d8375eD5hbJxzkZpKfHStJh8Rt7-7C86YdGVC0G2z3GPdfLM1Fo8IleDA8QSgxaXSpvBw,,&amp;typo=1&amp;ancr_add=1" TargetMode="External"/><Relationship Id="rId121" Type="http://schemas.openxmlformats.org/officeDocument/2006/relationships/hyperlink" Target="https://utest.to/" TargetMode="External"/><Relationship Id="rId120" Type="http://schemas.openxmlformats.org/officeDocument/2006/relationships/hyperlink" Target="https://www.innovateniagara.com/site/home" TargetMode="External"/><Relationship Id="rId125" Type="http://schemas.openxmlformats.org/officeDocument/2006/relationships/hyperlink" Target="https://marsdd.com/" TargetMode="External"/><Relationship Id="rId124" Type="http://schemas.openxmlformats.org/officeDocument/2006/relationships/hyperlink" Target="https://www.toronto-bia.com/" TargetMode="External"/><Relationship Id="rId123" Type="http://schemas.openxmlformats.org/officeDocument/2006/relationships/hyperlink" Target="https://www.torontomu.ca/svz/" TargetMode="External"/><Relationship Id="rId122" Type="http://schemas.openxmlformats.org/officeDocument/2006/relationships/hyperlink" Target="https://humber.ca/cfe/" TargetMode="External"/><Relationship Id="rId95" Type="http://schemas.openxmlformats.org/officeDocument/2006/relationships/hyperlink" Target="https://theforge.mcmaster.ca/" TargetMode="External"/><Relationship Id="rId94" Type="http://schemas.openxmlformats.org/officeDocument/2006/relationships/hyperlink" Target="https://innovationfactory.ca/" TargetMode="External"/><Relationship Id="rId97" Type="http://schemas.openxmlformats.org/officeDocument/2006/relationships/hyperlink" Target="https://investinhamilton.ca/hamilton-business-centre/" TargetMode="External"/><Relationship Id="rId96" Type="http://schemas.openxmlformats.org/officeDocument/2006/relationships/hyperlink" Target="https://www.csii.ca/" TargetMode="External"/><Relationship Id="rId99" Type="http://schemas.openxmlformats.org/officeDocument/2006/relationships/hyperlink" Target="https://linkprotect.cudasvc.com/url?a=http%3a%2f%2fwww.greencentrecanada.com&amp;c=E,1,-AYlMxAjwLKbeDNkfnBeCKsJnCUclGHsraBqbN8vn7xtv2Hzhdb9chLkaDaArAqsKLi3fDjGkHtAT77rV3n_zWOrPf9BQdaNXu72mM-_wxDE5_RBMvo,&amp;typo=1" TargetMode="External"/><Relationship Id="rId98" Type="http://schemas.openxmlformats.org/officeDocument/2006/relationships/hyperlink" Target="https://www.launchlab.ca/" TargetMode="External"/><Relationship Id="rId91" Type="http://schemas.openxmlformats.org/officeDocument/2006/relationships/hyperlink" Target="https://www.uoguelph.ca/" TargetMode="External"/><Relationship Id="rId90" Type="http://schemas.openxmlformats.org/officeDocument/2006/relationships/hyperlink" Target="https://bioenterprise.ca/" TargetMode="External"/><Relationship Id="rId93" Type="http://schemas.openxmlformats.org/officeDocument/2006/relationships/hyperlink" Target="https://linkprotect.cudasvc.com/url?a=http%3a%2f%2fwww.uoguelph.ca%2falliance&amp;c=E,1,G6Ob0cYjXULfuPyOUZJvDjRMxzb7QAKkyzw-gERgXffK8WJVWGiRh1Kkrbhc7RyB7FrSN_gIMtTimxWyH9ZToOIS8Z8XT8nHoJ7cfDEc83SpiBdvCovLe5ONzA,,&amp;typo=1" TargetMode="External"/><Relationship Id="rId92" Type="http://schemas.openxmlformats.org/officeDocument/2006/relationships/hyperlink" Target="https://www.uoguelph.ca/" TargetMode="External"/><Relationship Id="rId118" Type="http://schemas.openxmlformats.org/officeDocument/2006/relationships/hyperlink" Target="https://linkprotect.cudasvc.com/url?a=http%3a%2f%2fwww.bincanada.ca&amp;c=E,1,g5iUbil5bIeQA42nhGLx5-q0IphFnk7vvd5Ekj54L8mKacJvcBjOPN1g1hMNDADeQlTbi11bCwzuh2QmhxgM2E6BWQp5ynrCWKdu3TWZsEk,&amp;typo=1" TargetMode="External"/><Relationship Id="rId117" Type="http://schemas.openxmlformats.org/officeDocument/2006/relationships/hyperlink" Target="https://edge.sheridancollege.ca/" TargetMode="External"/><Relationship Id="rId116" Type="http://schemas.openxmlformats.org/officeDocument/2006/relationships/hyperlink" Target="https://nfinnovationhub.ca/" TargetMode="External"/><Relationship Id="rId115" Type="http://schemas.openxmlformats.org/officeDocument/2006/relationships/hyperlink" Target="https://linkprotect.cudasvc.com/url?a=http%3a%2f%2fwww.foresightcac.com&amp;c=E,1,58NIA0X4zIPuuM1UdBZHG2Y5VIBCC_ptiFFsuBFg7WyPd7eXfnGW5c9kN7y1jgpy1rWG_lwZZdwZ_8eb59_25p8i3S9KdV3BExX68rAlz9oGHsdRMltmotJ_UQ,,&amp;typo=1" TargetMode="External"/><Relationship Id="rId119" Type="http://schemas.openxmlformats.org/officeDocument/2006/relationships/hyperlink" Target="https://brocku.ca/linc/" TargetMode="External"/><Relationship Id="rId110" Type="http://schemas.openxmlformats.org/officeDocument/2006/relationships/hyperlink" Target="https://www.ledc.com/" TargetMode="External"/><Relationship Id="rId114" Type="http://schemas.openxmlformats.org/officeDocument/2006/relationships/hyperlink" Target="https://icubeutm.ca/" TargetMode="External"/><Relationship Id="rId113" Type="http://schemas.openxmlformats.org/officeDocument/2006/relationships/hyperlink" Target="https://www.norcat.org/" TargetMode="External"/><Relationship Id="rId112" Type="http://schemas.openxmlformats.org/officeDocument/2006/relationships/hyperlink" Target="https://www.ideamississauga.ca/" TargetMode="External"/><Relationship Id="rId111" Type="http://schemas.openxmlformats.org/officeDocument/2006/relationships/hyperlink" Target="https://sbcentre.c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2.71"/>
    <col customWidth="1" min="2" max="2" width="19.29"/>
    <col customWidth="1" min="3" max="3" width="38.71"/>
    <col customWidth="1" min="4" max="4" width="15.14"/>
    <col customWidth="1" min="5" max="5" width="18.71"/>
    <col customWidth="1" min="6" max="6" width="15.14"/>
    <col customWidth="1" min="7" max="7" width="33.29"/>
    <col customWidth="1" min="8" max="8" width="46.0"/>
    <col customWidth="1" min="9" max="12" width="37.86"/>
    <col customWidth="1" min="13" max="13" width="173.57"/>
    <col customWidth="1" min="14" max="29" width="8.71"/>
  </cols>
  <sheetData>
    <row r="1">
      <c r="A1" s="1" t="s">
        <v>0</v>
      </c>
      <c r="B1" s="1" t="s">
        <v>1</v>
      </c>
      <c r="C1" s="1" t="s">
        <v>2</v>
      </c>
      <c r="D1" s="2" t="s">
        <v>3</v>
      </c>
      <c r="E1" s="2" t="s">
        <v>4</v>
      </c>
      <c r="F1" s="1" t="s">
        <v>5</v>
      </c>
      <c r="G1" s="1" t="s">
        <v>6</v>
      </c>
      <c r="H1" s="1" t="s">
        <v>7</v>
      </c>
      <c r="I1" s="1" t="s">
        <v>8</v>
      </c>
      <c r="J1" s="3" t="s">
        <v>9</v>
      </c>
      <c r="K1" s="3" t="s">
        <v>10</v>
      </c>
      <c r="L1" s="3" t="s">
        <v>11</v>
      </c>
      <c r="M1" s="1" t="s">
        <v>12</v>
      </c>
    </row>
    <row r="2">
      <c r="A2" s="4" t="s">
        <v>13</v>
      </c>
      <c r="B2" s="5" t="s">
        <v>14</v>
      </c>
      <c r="C2" s="4" t="s">
        <v>15</v>
      </c>
      <c r="D2" s="4">
        <v>42.2939</v>
      </c>
      <c r="E2" s="5">
        <v>-83.7467</v>
      </c>
      <c r="F2" s="4" t="s">
        <v>16</v>
      </c>
      <c r="G2" s="4" t="s">
        <v>17</v>
      </c>
      <c r="H2" s="4" t="s">
        <v>18</v>
      </c>
      <c r="I2" s="6" t="s">
        <v>19</v>
      </c>
      <c r="J2" s="7"/>
      <c r="K2" s="8" t="s">
        <v>20</v>
      </c>
      <c r="L2" s="7"/>
      <c r="M2" s="4" t="s">
        <v>21</v>
      </c>
    </row>
    <row r="3">
      <c r="A3" s="4" t="s">
        <v>22</v>
      </c>
      <c r="B3" s="5" t="s">
        <v>14</v>
      </c>
      <c r="C3" s="4" t="s">
        <v>23</v>
      </c>
      <c r="D3" s="4">
        <v>42.3009</v>
      </c>
      <c r="E3" s="4">
        <v>-83.7033</v>
      </c>
      <c r="F3" s="4" t="s">
        <v>16</v>
      </c>
      <c r="G3" s="4" t="s">
        <v>24</v>
      </c>
      <c r="H3" s="4" t="s">
        <v>25</v>
      </c>
      <c r="I3" s="6" t="s">
        <v>26</v>
      </c>
      <c r="J3" s="9" t="s">
        <v>27</v>
      </c>
      <c r="K3" s="8" t="s">
        <v>28</v>
      </c>
      <c r="L3" s="8" t="s">
        <v>29</v>
      </c>
      <c r="M3" s="4" t="s">
        <v>30</v>
      </c>
    </row>
    <row r="4">
      <c r="A4" s="5" t="s">
        <v>31</v>
      </c>
      <c r="B4" s="5" t="s">
        <v>14</v>
      </c>
      <c r="C4" s="5" t="s">
        <v>32</v>
      </c>
      <c r="D4" s="5">
        <v>42.280293</v>
      </c>
      <c r="E4" s="5">
        <v>-83.748186</v>
      </c>
      <c r="F4" s="4" t="s">
        <v>16</v>
      </c>
      <c r="G4" s="5" t="s">
        <v>33</v>
      </c>
      <c r="H4" s="5" t="s">
        <v>34</v>
      </c>
      <c r="I4" s="6" t="s">
        <v>35</v>
      </c>
      <c r="J4" s="9" t="s">
        <v>36</v>
      </c>
      <c r="K4" s="8" t="s">
        <v>37</v>
      </c>
      <c r="L4" s="8"/>
      <c r="M4" s="5" t="s">
        <v>38</v>
      </c>
    </row>
    <row r="5">
      <c r="A5" s="5" t="s">
        <v>39</v>
      </c>
      <c r="B5" s="5" t="s">
        <v>14</v>
      </c>
      <c r="C5" s="5" t="s">
        <v>40</v>
      </c>
      <c r="D5" s="5">
        <v>42.27921</v>
      </c>
      <c r="E5" s="5">
        <v>-83.73359</v>
      </c>
      <c r="F5" s="4" t="s">
        <v>16</v>
      </c>
      <c r="G5" s="4" t="s">
        <v>24</v>
      </c>
      <c r="H5" s="5" t="s">
        <v>41</v>
      </c>
      <c r="I5" s="6" t="s">
        <v>42</v>
      </c>
      <c r="J5" s="9" t="s">
        <v>43</v>
      </c>
      <c r="K5" s="8" t="s">
        <v>44</v>
      </c>
      <c r="L5" s="8" t="s">
        <v>45</v>
      </c>
      <c r="M5" s="4" t="s">
        <v>46</v>
      </c>
    </row>
    <row r="6">
      <c r="A6" s="5" t="s">
        <v>47</v>
      </c>
      <c r="B6" s="5" t="s">
        <v>14</v>
      </c>
      <c r="C6" s="5" t="s">
        <v>48</v>
      </c>
      <c r="D6" s="5">
        <v>42.302</v>
      </c>
      <c r="E6" s="5">
        <v>-83.705</v>
      </c>
      <c r="F6" s="4" t="s">
        <v>16</v>
      </c>
      <c r="G6" s="4" t="s">
        <v>24</v>
      </c>
      <c r="H6" s="5" t="s">
        <v>49</v>
      </c>
      <c r="I6" s="6" t="s">
        <v>50</v>
      </c>
      <c r="J6" s="10"/>
      <c r="K6" s="8" t="s">
        <v>51</v>
      </c>
      <c r="L6" s="8"/>
      <c r="M6" s="5" t="s">
        <v>52</v>
      </c>
    </row>
    <row r="7">
      <c r="A7" s="5" t="s">
        <v>53</v>
      </c>
      <c r="B7" s="5" t="s">
        <v>14</v>
      </c>
      <c r="C7" s="5" t="s">
        <v>54</v>
      </c>
      <c r="D7" s="4">
        <v>42.2431</v>
      </c>
      <c r="E7" s="4">
        <v>-83.7328</v>
      </c>
      <c r="F7" s="4" t="s">
        <v>16</v>
      </c>
      <c r="G7" s="5" t="s">
        <v>55</v>
      </c>
      <c r="H7" s="5" t="s">
        <v>56</v>
      </c>
      <c r="I7" s="6" t="s">
        <v>57</v>
      </c>
      <c r="J7" s="8" t="s">
        <v>58</v>
      </c>
      <c r="K7" s="8" t="s">
        <v>59</v>
      </c>
      <c r="L7" s="7"/>
      <c r="M7" s="5" t="s">
        <v>60</v>
      </c>
    </row>
    <row r="8">
      <c r="A8" s="5" t="s">
        <v>61</v>
      </c>
      <c r="B8" s="5" t="s">
        <v>14</v>
      </c>
      <c r="C8" s="5" t="s">
        <v>62</v>
      </c>
      <c r="D8" s="4">
        <v>42.7346</v>
      </c>
      <c r="E8" s="4">
        <v>-84.4808</v>
      </c>
      <c r="F8" s="4" t="s">
        <v>16</v>
      </c>
      <c r="G8" s="5" t="s">
        <v>33</v>
      </c>
      <c r="H8" s="5" t="s">
        <v>63</v>
      </c>
      <c r="I8" s="6" t="s">
        <v>64</v>
      </c>
      <c r="J8" s="9" t="s">
        <v>65</v>
      </c>
      <c r="K8" s="8" t="s">
        <v>66</v>
      </c>
      <c r="L8" s="7"/>
      <c r="M8" s="5" t="s">
        <v>67</v>
      </c>
    </row>
    <row r="9">
      <c r="A9" s="4" t="s">
        <v>68</v>
      </c>
      <c r="B9" s="5" t="s">
        <v>14</v>
      </c>
      <c r="C9" s="5" t="s">
        <v>69</v>
      </c>
      <c r="D9" s="5">
        <v>42.2796</v>
      </c>
      <c r="E9" s="5">
        <v>-83.7454</v>
      </c>
      <c r="F9" s="4" t="s">
        <v>16</v>
      </c>
      <c r="G9" s="4" t="s">
        <v>70</v>
      </c>
      <c r="H9" s="4" t="s">
        <v>71</v>
      </c>
      <c r="I9" s="6" t="s">
        <v>72</v>
      </c>
      <c r="J9" s="11" t="s">
        <v>73</v>
      </c>
      <c r="K9" s="7"/>
      <c r="L9" s="8" t="s">
        <v>74</v>
      </c>
      <c r="M9" s="4" t="s">
        <v>71</v>
      </c>
    </row>
    <row r="10">
      <c r="A10" s="5" t="s">
        <v>75</v>
      </c>
      <c r="B10" s="5" t="s">
        <v>14</v>
      </c>
      <c r="C10" s="5" t="s">
        <v>76</v>
      </c>
      <c r="D10" s="5">
        <v>42.2769</v>
      </c>
      <c r="E10" s="5">
        <v>-83.741</v>
      </c>
      <c r="F10" s="4" t="s">
        <v>16</v>
      </c>
      <c r="G10" s="5" t="s">
        <v>33</v>
      </c>
      <c r="H10" s="5" t="s">
        <v>77</v>
      </c>
      <c r="I10" s="6" t="s">
        <v>78</v>
      </c>
      <c r="J10" s="9" t="s">
        <v>79</v>
      </c>
      <c r="K10" s="8">
        <v>7.346622102E9</v>
      </c>
      <c r="L10" s="7"/>
      <c r="M10" s="5" t="s">
        <v>80</v>
      </c>
    </row>
    <row r="11">
      <c r="A11" s="5" t="s">
        <v>81</v>
      </c>
      <c r="B11" s="5" t="s">
        <v>14</v>
      </c>
      <c r="C11" s="5" t="s">
        <v>82</v>
      </c>
      <c r="D11" s="5">
        <v>42.2226</v>
      </c>
      <c r="E11" s="5">
        <v>-83.7263</v>
      </c>
      <c r="F11" s="5" t="s">
        <v>16</v>
      </c>
      <c r="G11" s="4" t="s">
        <v>24</v>
      </c>
      <c r="H11" s="5" t="s">
        <v>83</v>
      </c>
      <c r="I11" s="6" t="s">
        <v>84</v>
      </c>
      <c r="J11" s="12" t="s">
        <v>85</v>
      </c>
      <c r="K11" s="11">
        <v>7.346634423E9</v>
      </c>
      <c r="L11" s="7"/>
      <c r="M11" s="5" t="s">
        <v>86</v>
      </c>
    </row>
    <row r="12">
      <c r="A12" s="5" t="s">
        <v>87</v>
      </c>
      <c r="B12" s="5" t="s">
        <v>14</v>
      </c>
      <c r="C12" s="5" t="s">
        <v>88</v>
      </c>
      <c r="D12" s="4">
        <v>42.2737</v>
      </c>
      <c r="E12" s="4">
        <v>-83.7395</v>
      </c>
      <c r="F12" s="4" t="s">
        <v>16</v>
      </c>
      <c r="G12" s="5" t="s">
        <v>89</v>
      </c>
      <c r="H12" s="5" t="s">
        <v>90</v>
      </c>
      <c r="I12" s="6" t="s">
        <v>91</v>
      </c>
      <c r="J12" s="7"/>
      <c r="K12" s="11"/>
      <c r="L12" s="7"/>
      <c r="M12" s="5" t="s">
        <v>92</v>
      </c>
    </row>
    <row r="13">
      <c r="A13" s="5" t="s">
        <v>93</v>
      </c>
      <c r="B13" s="5" t="s">
        <v>14</v>
      </c>
      <c r="C13" s="5" t="s">
        <v>94</v>
      </c>
      <c r="D13" s="4">
        <v>42.2139</v>
      </c>
      <c r="E13" s="4">
        <v>-83.745</v>
      </c>
      <c r="F13" s="4" t="s">
        <v>16</v>
      </c>
      <c r="G13" s="5" t="s">
        <v>55</v>
      </c>
      <c r="H13" s="5" t="s">
        <v>95</v>
      </c>
      <c r="I13" s="6" t="s">
        <v>96</v>
      </c>
      <c r="J13" s="9" t="s">
        <v>97</v>
      </c>
      <c r="K13" s="8" t="s">
        <v>98</v>
      </c>
      <c r="L13" s="7"/>
      <c r="M13" s="5" t="s">
        <v>99</v>
      </c>
    </row>
    <row r="14">
      <c r="A14" s="5" t="s">
        <v>100</v>
      </c>
      <c r="B14" s="5" t="s">
        <v>101</v>
      </c>
      <c r="C14" s="5" t="s">
        <v>102</v>
      </c>
      <c r="D14" s="5">
        <v>42.5517</v>
      </c>
      <c r="E14" s="5">
        <v>-83.2151</v>
      </c>
      <c r="F14" s="4" t="s">
        <v>16</v>
      </c>
      <c r="G14" s="5" t="s">
        <v>33</v>
      </c>
      <c r="H14" s="5" t="s">
        <v>103</v>
      </c>
      <c r="I14" s="6" t="s">
        <v>104</v>
      </c>
      <c r="J14" s="11" t="s">
        <v>105</v>
      </c>
      <c r="K14" s="11" t="s">
        <v>106</v>
      </c>
      <c r="L14" s="7"/>
      <c r="M14" s="5" t="s">
        <v>107</v>
      </c>
    </row>
    <row r="15">
      <c r="A15" s="5" t="s">
        <v>108</v>
      </c>
      <c r="B15" s="5" t="s">
        <v>109</v>
      </c>
      <c r="C15" s="5" t="s">
        <v>110</v>
      </c>
      <c r="D15" s="5">
        <v>42.5419</v>
      </c>
      <c r="E15" s="5">
        <v>-83.2854</v>
      </c>
      <c r="F15" s="5" t="s">
        <v>16</v>
      </c>
      <c r="G15" s="5" t="s">
        <v>33</v>
      </c>
      <c r="H15" s="5" t="s">
        <v>111</v>
      </c>
      <c r="I15" s="6" t="s">
        <v>112</v>
      </c>
      <c r="J15" s="9" t="s">
        <v>113</v>
      </c>
      <c r="K15" s="7"/>
      <c r="L15" s="7"/>
      <c r="M15" s="5" t="s">
        <v>114</v>
      </c>
    </row>
    <row r="16">
      <c r="A16" s="5" t="s">
        <v>115</v>
      </c>
      <c r="B16" s="5" t="s">
        <v>116</v>
      </c>
      <c r="C16" s="5" t="s">
        <v>117</v>
      </c>
      <c r="D16" s="5">
        <v>42.723</v>
      </c>
      <c r="E16" s="5">
        <v>-84.5527</v>
      </c>
      <c r="F16" s="5" t="s">
        <v>16</v>
      </c>
      <c r="G16" s="5" t="s">
        <v>89</v>
      </c>
      <c r="H16" s="5" t="s">
        <v>118</v>
      </c>
      <c r="I16" s="6" t="s">
        <v>119</v>
      </c>
      <c r="J16" s="7"/>
      <c r="K16" s="8" t="s">
        <v>120</v>
      </c>
      <c r="L16" s="8" t="s">
        <v>121</v>
      </c>
      <c r="M16" s="5" t="s">
        <v>122</v>
      </c>
    </row>
    <row r="17">
      <c r="A17" s="5" t="s">
        <v>123</v>
      </c>
      <c r="B17" s="5" t="s">
        <v>124</v>
      </c>
      <c r="C17" s="5" t="s">
        <v>125</v>
      </c>
      <c r="D17" s="5">
        <v>42.332</v>
      </c>
      <c r="E17" s="5">
        <v>-83.0476</v>
      </c>
      <c r="F17" s="5" t="s">
        <v>16</v>
      </c>
      <c r="G17" s="5" t="s">
        <v>55</v>
      </c>
      <c r="H17" s="5" t="s">
        <v>126</v>
      </c>
      <c r="I17" s="6" t="s">
        <v>127</v>
      </c>
      <c r="J17" s="11" t="s">
        <v>128</v>
      </c>
      <c r="K17" s="11">
        <v>3.1351856E9</v>
      </c>
      <c r="L17" s="8" t="s">
        <v>129</v>
      </c>
      <c r="M17" s="5" t="s">
        <v>130</v>
      </c>
    </row>
    <row r="18">
      <c r="A18" s="5" t="s">
        <v>131</v>
      </c>
      <c r="B18" s="5" t="s">
        <v>124</v>
      </c>
      <c r="C18" s="5" t="s">
        <v>132</v>
      </c>
      <c r="D18" s="4">
        <v>42.3262</v>
      </c>
      <c r="E18" s="4">
        <v>-83.0686</v>
      </c>
      <c r="F18" s="4" t="s">
        <v>16</v>
      </c>
      <c r="G18" s="5" t="s">
        <v>89</v>
      </c>
      <c r="H18" s="5" t="s">
        <v>133</v>
      </c>
      <c r="I18" s="6" t="s">
        <v>134</v>
      </c>
      <c r="J18" s="9" t="s">
        <v>135</v>
      </c>
      <c r="K18" s="8" t="s">
        <v>136</v>
      </c>
      <c r="L18" s="7"/>
      <c r="M18" s="5" t="s">
        <v>137</v>
      </c>
    </row>
    <row r="19">
      <c r="A19" s="5" t="s">
        <v>138</v>
      </c>
      <c r="B19" s="5" t="s">
        <v>124</v>
      </c>
      <c r="C19" s="5" t="s">
        <v>139</v>
      </c>
      <c r="D19" s="5">
        <v>42.3341</v>
      </c>
      <c r="E19" s="5">
        <v>-83.0504</v>
      </c>
      <c r="F19" s="5" t="s">
        <v>16</v>
      </c>
      <c r="G19" s="5" t="s">
        <v>89</v>
      </c>
      <c r="H19" s="5" t="s">
        <v>140</v>
      </c>
      <c r="I19" s="6" t="s">
        <v>141</v>
      </c>
      <c r="J19" s="7"/>
      <c r="K19" s="7"/>
      <c r="L19" s="7"/>
      <c r="M19" s="5" t="s">
        <v>142</v>
      </c>
    </row>
    <row r="20" ht="15.75" customHeight="1">
      <c r="A20" s="5" t="s">
        <v>143</v>
      </c>
      <c r="B20" s="5" t="s">
        <v>124</v>
      </c>
      <c r="C20" s="5" t="s">
        <v>144</v>
      </c>
      <c r="D20" s="5">
        <v>42.3346</v>
      </c>
      <c r="E20" s="5">
        <v>-83.0496</v>
      </c>
      <c r="F20" s="5" t="s">
        <v>16</v>
      </c>
      <c r="G20" s="5" t="s">
        <v>89</v>
      </c>
      <c r="H20" s="5" t="s">
        <v>145</v>
      </c>
      <c r="I20" s="6" t="s">
        <v>146</v>
      </c>
      <c r="J20" s="9" t="s">
        <v>147</v>
      </c>
      <c r="K20" s="8" t="s">
        <v>148</v>
      </c>
      <c r="L20" s="8"/>
      <c r="M20" s="13" t="s">
        <v>149</v>
      </c>
    </row>
    <row r="21" ht="15.75" customHeight="1">
      <c r="A21" s="5" t="s">
        <v>150</v>
      </c>
      <c r="B21" s="5" t="s">
        <v>124</v>
      </c>
      <c r="C21" s="4" t="s">
        <v>151</v>
      </c>
      <c r="D21" s="5">
        <v>42.3352</v>
      </c>
      <c r="E21" s="5">
        <v>-83.0459</v>
      </c>
      <c r="F21" s="5" t="s">
        <v>16</v>
      </c>
      <c r="G21" s="5" t="s">
        <v>33</v>
      </c>
      <c r="H21" s="5" t="s">
        <v>152</v>
      </c>
      <c r="I21" s="6" t="s">
        <v>153</v>
      </c>
      <c r="J21" s="9" t="s">
        <v>154</v>
      </c>
      <c r="K21" s="7"/>
      <c r="L21" s="8" t="s">
        <v>155</v>
      </c>
      <c r="M21" s="5" t="s">
        <v>156</v>
      </c>
    </row>
    <row r="22" ht="15.75" customHeight="1">
      <c r="A22" s="4" t="s">
        <v>157</v>
      </c>
      <c r="B22" s="5" t="s">
        <v>124</v>
      </c>
      <c r="C22" s="4" t="s">
        <v>158</v>
      </c>
      <c r="D22" s="4">
        <v>42.3256</v>
      </c>
      <c r="E22" s="4">
        <v>-83.068</v>
      </c>
      <c r="F22" s="4" t="s">
        <v>16</v>
      </c>
      <c r="G22" s="4" t="s">
        <v>17</v>
      </c>
      <c r="H22" s="4" t="s">
        <v>159</v>
      </c>
      <c r="I22" s="6" t="s">
        <v>160</v>
      </c>
      <c r="J22" s="9" t="s">
        <v>161</v>
      </c>
      <c r="K22" s="8" t="s">
        <v>162</v>
      </c>
      <c r="L22" s="7"/>
      <c r="M22" s="4" t="s">
        <v>163</v>
      </c>
    </row>
    <row r="23" ht="15.75" customHeight="1">
      <c r="A23" s="14" t="s">
        <v>164</v>
      </c>
      <c r="B23" s="14" t="s">
        <v>124</v>
      </c>
      <c r="C23" s="14" t="s">
        <v>165</v>
      </c>
      <c r="D23" s="14">
        <v>42.325</v>
      </c>
      <c r="E23" s="14">
        <v>-83.0703</v>
      </c>
      <c r="F23" s="14" t="s">
        <v>16</v>
      </c>
      <c r="G23" s="14" t="s">
        <v>89</v>
      </c>
      <c r="H23" s="14" t="s">
        <v>166</v>
      </c>
      <c r="I23" s="15" t="s">
        <v>167</v>
      </c>
      <c r="J23" s="16" t="s">
        <v>168</v>
      </c>
      <c r="K23" s="17"/>
      <c r="L23" s="17"/>
      <c r="M23" s="14" t="s">
        <v>169</v>
      </c>
      <c r="N23" s="18"/>
      <c r="O23" s="18"/>
      <c r="P23" s="18"/>
      <c r="Q23" s="18"/>
      <c r="R23" s="18"/>
      <c r="S23" s="18"/>
      <c r="T23" s="18"/>
      <c r="U23" s="18"/>
      <c r="V23" s="18"/>
      <c r="W23" s="18"/>
      <c r="X23" s="18"/>
      <c r="Y23" s="18"/>
      <c r="Z23" s="18"/>
      <c r="AA23" s="18"/>
      <c r="AB23" s="18"/>
      <c r="AC23" s="18"/>
    </row>
    <row r="24" ht="15.75" customHeight="1">
      <c r="A24" s="5" t="s">
        <v>170</v>
      </c>
      <c r="B24" s="5" t="s">
        <v>124</v>
      </c>
      <c r="C24" s="5" t="s">
        <v>171</v>
      </c>
      <c r="D24" s="5">
        <v>42.3242</v>
      </c>
      <c r="E24" s="5">
        <v>-83.0709</v>
      </c>
      <c r="F24" s="5" t="s">
        <v>16</v>
      </c>
      <c r="G24" s="5" t="s">
        <v>89</v>
      </c>
      <c r="H24" s="5" t="s">
        <v>172</v>
      </c>
      <c r="I24" s="6" t="s">
        <v>173</v>
      </c>
      <c r="J24" s="7"/>
      <c r="K24" s="7"/>
      <c r="L24" s="7"/>
      <c r="M24" s="5" t="s">
        <v>174</v>
      </c>
    </row>
    <row r="25" ht="13.5" customHeight="1">
      <c r="A25" s="14" t="s">
        <v>175</v>
      </c>
      <c r="B25" s="14" t="s">
        <v>124</v>
      </c>
      <c r="C25" s="14" t="s">
        <v>176</v>
      </c>
      <c r="D25" s="14">
        <v>42.32969</v>
      </c>
      <c r="E25" s="14">
        <v>-83.04357</v>
      </c>
      <c r="F25" s="14" t="s">
        <v>16</v>
      </c>
      <c r="G25" s="14" t="s">
        <v>55</v>
      </c>
      <c r="H25" s="14" t="s">
        <v>177</v>
      </c>
      <c r="I25" s="15" t="s">
        <v>178</v>
      </c>
      <c r="J25" s="17"/>
      <c r="K25" s="17"/>
      <c r="L25" s="17"/>
      <c r="M25" s="14" t="s">
        <v>179</v>
      </c>
      <c r="N25" s="18"/>
      <c r="O25" s="18"/>
      <c r="P25" s="18"/>
      <c r="Q25" s="18"/>
      <c r="R25" s="18"/>
      <c r="S25" s="18"/>
      <c r="T25" s="18"/>
      <c r="U25" s="18"/>
      <c r="V25" s="18"/>
      <c r="W25" s="18"/>
      <c r="X25" s="18"/>
      <c r="Y25" s="18"/>
      <c r="Z25" s="18"/>
      <c r="AA25" s="18"/>
      <c r="AB25" s="18"/>
      <c r="AC25" s="18"/>
    </row>
    <row r="26" ht="15.75" customHeight="1">
      <c r="A26" s="5" t="s">
        <v>180</v>
      </c>
      <c r="B26" s="5" t="s">
        <v>124</v>
      </c>
      <c r="C26" s="5" t="s">
        <v>181</v>
      </c>
      <c r="D26" s="5">
        <v>42.3258</v>
      </c>
      <c r="E26" s="5">
        <v>-83.0735</v>
      </c>
      <c r="F26" s="5" t="s">
        <v>16</v>
      </c>
      <c r="G26" s="5" t="s">
        <v>89</v>
      </c>
      <c r="H26" s="5" t="s">
        <v>182</v>
      </c>
      <c r="I26" s="6" t="s">
        <v>183</v>
      </c>
      <c r="J26" s="9" t="s">
        <v>184</v>
      </c>
      <c r="K26" s="7"/>
      <c r="L26" s="8" t="s">
        <v>185</v>
      </c>
      <c r="M26" s="5" t="s">
        <v>186</v>
      </c>
    </row>
    <row r="27" ht="15.75" customHeight="1">
      <c r="A27" s="5" t="s">
        <v>187</v>
      </c>
      <c r="B27" s="5" t="s">
        <v>124</v>
      </c>
      <c r="C27" s="5" t="s">
        <v>181</v>
      </c>
      <c r="D27" s="5">
        <v>42.3258</v>
      </c>
      <c r="E27" s="5">
        <v>-83.0735</v>
      </c>
      <c r="F27" s="5" t="s">
        <v>16</v>
      </c>
      <c r="G27" s="5" t="s">
        <v>55</v>
      </c>
      <c r="H27" s="5" t="s">
        <v>188</v>
      </c>
      <c r="I27" s="6" t="s">
        <v>189</v>
      </c>
      <c r="J27" s="19" t="s">
        <v>190</v>
      </c>
      <c r="K27" s="7"/>
      <c r="L27" s="8" t="s">
        <v>191</v>
      </c>
      <c r="M27" s="5" t="s">
        <v>192</v>
      </c>
    </row>
    <row r="28" ht="15.75" customHeight="1">
      <c r="A28" s="5" t="s">
        <v>193</v>
      </c>
      <c r="B28" s="5" t="s">
        <v>124</v>
      </c>
      <c r="C28" s="5" t="s">
        <v>194</v>
      </c>
      <c r="D28" s="5">
        <v>42.3357</v>
      </c>
      <c r="E28" s="5">
        <v>-83.0526</v>
      </c>
      <c r="F28" s="4" t="s">
        <v>16</v>
      </c>
      <c r="G28" s="4" t="s">
        <v>24</v>
      </c>
      <c r="H28" s="5" t="s">
        <v>195</v>
      </c>
      <c r="I28" s="6" t="s">
        <v>196</v>
      </c>
      <c r="J28" s="7"/>
      <c r="K28" s="7"/>
      <c r="L28" s="8"/>
      <c r="M28" s="4" t="s">
        <v>197</v>
      </c>
    </row>
    <row r="29" ht="15.75" customHeight="1">
      <c r="A29" s="5" t="s">
        <v>198</v>
      </c>
      <c r="B29" s="5" t="s">
        <v>124</v>
      </c>
      <c r="C29" s="5" t="s">
        <v>199</v>
      </c>
      <c r="D29" s="5">
        <v>42.7362</v>
      </c>
      <c r="E29" s="5">
        <v>-84.5513</v>
      </c>
      <c r="F29" s="5" t="s">
        <v>16</v>
      </c>
      <c r="G29" s="5" t="s">
        <v>55</v>
      </c>
      <c r="H29" s="5" t="s">
        <v>200</v>
      </c>
      <c r="I29" s="6" t="s">
        <v>201</v>
      </c>
      <c r="J29" s="7"/>
      <c r="K29" s="8" t="s">
        <v>202</v>
      </c>
      <c r="L29" s="7"/>
      <c r="M29" s="5" t="s">
        <v>203</v>
      </c>
    </row>
    <row r="30" ht="15.75" customHeight="1">
      <c r="A30" s="5" t="s">
        <v>204</v>
      </c>
      <c r="B30" s="5" t="s">
        <v>124</v>
      </c>
      <c r="C30" s="5" t="s">
        <v>205</v>
      </c>
      <c r="D30" s="5">
        <v>42.3281</v>
      </c>
      <c r="E30" s="5">
        <v>-83.0497</v>
      </c>
      <c r="F30" s="4" t="s">
        <v>16</v>
      </c>
      <c r="G30" s="5" t="s">
        <v>33</v>
      </c>
      <c r="H30" s="5" t="s">
        <v>206</v>
      </c>
      <c r="I30" s="6" t="s">
        <v>207</v>
      </c>
      <c r="J30" s="7"/>
      <c r="K30" s="8" t="s">
        <v>208</v>
      </c>
      <c r="L30" s="7"/>
      <c r="M30" s="5" t="s">
        <v>209</v>
      </c>
    </row>
    <row r="31" ht="15.75" customHeight="1">
      <c r="A31" s="5" t="s">
        <v>210</v>
      </c>
      <c r="B31" s="5" t="s">
        <v>124</v>
      </c>
      <c r="C31" s="5" t="s">
        <v>211</v>
      </c>
      <c r="D31" s="4">
        <v>42.3579</v>
      </c>
      <c r="E31" s="4">
        <v>-83.0649</v>
      </c>
      <c r="F31" s="4" t="s">
        <v>16</v>
      </c>
      <c r="G31" s="4" t="s">
        <v>24</v>
      </c>
      <c r="H31" s="5" t="s">
        <v>212</v>
      </c>
      <c r="I31" s="6" t="s">
        <v>213</v>
      </c>
      <c r="J31" s="11" t="s">
        <v>214</v>
      </c>
      <c r="K31" s="8" t="s">
        <v>215</v>
      </c>
      <c r="L31" s="20" t="s">
        <v>216</v>
      </c>
      <c r="M31" s="5" t="s">
        <v>217</v>
      </c>
    </row>
    <row r="32" ht="15.75" customHeight="1">
      <c r="A32" s="5" t="s">
        <v>218</v>
      </c>
      <c r="B32" s="5" t="s">
        <v>124</v>
      </c>
      <c r="C32" s="4" t="s">
        <v>219</v>
      </c>
      <c r="D32" s="5">
        <v>42.3496</v>
      </c>
      <c r="E32" s="5">
        <v>-83.0593</v>
      </c>
      <c r="F32" s="5" t="s">
        <v>16</v>
      </c>
      <c r="G32" s="5" t="s">
        <v>33</v>
      </c>
      <c r="H32" s="5" t="s">
        <v>220</v>
      </c>
      <c r="I32" s="6" t="s">
        <v>221</v>
      </c>
      <c r="J32" s="9" t="s">
        <v>222</v>
      </c>
      <c r="K32" s="21"/>
      <c r="L32" s="22"/>
      <c r="M32" s="5" t="s">
        <v>223</v>
      </c>
    </row>
    <row r="33" ht="15.75" customHeight="1">
      <c r="A33" s="4" t="s">
        <v>224</v>
      </c>
      <c r="B33" s="5" t="s">
        <v>124</v>
      </c>
      <c r="C33" s="5" t="s">
        <v>225</v>
      </c>
      <c r="D33" s="5">
        <v>42.3649</v>
      </c>
      <c r="E33" s="5">
        <v>-83.0727</v>
      </c>
      <c r="F33" s="4" t="s">
        <v>16</v>
      </c>
      <c r="G33" s="4" t="s">
        <v>17</v>
      </c>
      <c r="H33" s="4" t="s">
        <v>226</v>
      </c>
      <c r="I33" s="6" t="s">
        <v>227</v>
      </c>
      <c r="J33" s="8" t="s">
        <v>228</v>
      </c>
      <c r="K33" s="8" t="s">
        <v>229</v>
      </c>
      <c r="L33" s="7"/>
      <c r="M33" s="4" t="s">
        <v>230</v>
      </c>
    </row>
    <row r="34" ht="15.75" customHeight="1">
      <c r="A34" s="5" t="s">
        <v>231</v>
      </c>
      <c r="B34" s="5" t="s">
        <v>124</v>
      </c>
      <c r="C34" s="5" t="s">
        <v>232</v>
      </c>
      <c r="D34" s="5">
        <v>42.3649</v>
      </c>
      <c r="E34" s="5">
        <v>-83.0727</v>
      </c>
      <c r="F34" s="4" t="s">
        <v>16</v>
      </c>
      <c r="G34" s="5" t="s">
        <v>89</v>
      </c>
      <c r="H34" s="5" t="s">
        <v>233</v>
      </c>
      <c r="I34" s="6" t="s">
        <v>234</v>
      </c>
      <c r="J34" s="9" t="s">
        <v>235</v>
      </c>
      <c r="K34" s="7"/>
      <c r="L34" s="8" t="s">
        <v>236</v>
      </c>
      <c r="M34" s="5" t="s">
        <v>237</v>
      </c>
    </row>
    <row r="35" ht="15.75" customHeight="1">
      <c r="A35" s="5" t="s">
        <v>238</v>
      </c>
      <c r="B35" s="5" t="s">
        <v>124</v>
      </c>
      <c r="C35" s="5" t="s">
        <v>239</v>
      </c>
      <c r="D35" s="5">
        <v>42.3649</v>
      </c>
      <c r="E35" s="5">
        <v>-83.0727</v>
      </c>
      <c r="F35" s="5" t="s">
        <v>16</v>
      </c>
      <c r="G35" s="5" t="s">
        <v>240</v>
      </c>
      <c r="H35" s="5" t="s">
        <v>241</v>
      </c>
      <c r="I35" s="6" t="s">
        <v>242</v>
      </c>
      <c r="J35" s="9" t="s">
        <v>243</v>
      </c>
      <c r="K35" s="8" t="s">
        <v>244</v>
      </c>
      <c r="L35" s="7"/>
      <c r="M35" s="5" t="s">
        <v>245</v>
      </c>
    </row>
    <row r="36" ht="15.75" customHeight="1">
      <c r="A36" s="5" t="s">
        <v>246</v>
      </c>
      <c r="B36" s="5" t="s">
        <v>124</v>
      </c>
      <c r="C36" s="5" t="s">
        <v>247</v>
      </c>
      <c r="D36" s="5">
        <v>42.3306</v>
      </c>
      <c r="E36" s="5">
        <v>-83.0466</v>
      </c>
      <c r="F36" s="5" t="s">
        <v>16</v>
      </c>
      <c r="G36" s="5" t="s">
        <v>55</v>
      </c>
      <c r="H36" s="5" t="s">
        <v>248</v>
      </c>
      <c r="I36" s="6" t="s">
        <v>249</v>
      </c>
      <c r="J36" s="11" t="s">
        <v>250</v>
      </c>
      <c r="K36" s="11">
        <v>3.132374621E9</v>
      </c>
      <c r="L36" s="12" t="s">
        <v>251</v>
      </c>
      <c r="M36" s="5" t="s">
        <v>252</v>
      </c>
    </row>
    <row r="37" ht="15.75" customHeight="1">
      <c r="A37" s="5" t="s">
        <v>253</v>
      </c>
      <c r="B37" s="5" t="s">
        <v>124</v>
      </c>
      <c r="C37" s="5" t="s">
        <v>254</v>
      </c>
      <c r="D37" s="4">
        <v>42.32806</v>
      </c>
      <c r="E37" s="4">
        <v>-83.04083</v>
      </c>
      <c r="F37" s="4" t="s">
        <v>16</v>
      </c>
      <c r="G37" s="5" t="s">
        <v>33</v>
      </c>
      <c r="H37" s="5" t="s">
        <v>255</v>
      </c>
      <c r="I37" s="6" t="s">
        <v>256</v>
      </c>
      <c r="J37" s="8" t="s">
        <v>257</v>
      </c>
      <c r="K37" s="8" t="s">
        <v>258</v>
      </c>
      <c r="L37" s="12"/>
      <c r="M37" s="5" t="s">
        <v>259</v>
      </c>
    </row>
    <row r="38" ht="15.75" customHeight="1">
      <c r="A38" s="5" t="s">
        <v>260</v>
      </c>
      <c r="B38" s="5" t="s">
        <v>261</v>
      </c>
      <c r="C38" s="5" t="s">
        <v>262</v>
      </c>
      <c r="D38" s="5">
        <v>43.0151</v>
      </c>
      <c r="E38" s="5">
        <v>-83.6894</v>
      </c>
      <c r="F38" s="5" t="s">
        <v>16</v>
      </c>
      <c r="G38" s="5" t="s">
        <v>240</v>
      </c>
      <c r="H38" s="5" t="s">
        <v>263</v>
      </c>
      <c r="I38" s="6" t="s">
        <v>264</v>
      </c>
      <c r="J38" s="9" t="s">
        <v>265</v>
      </c>
      <c r="K38" s="8" t="s">
        <v>266</v>
      </c>
      <c r="L38" s="7"/>
      <c r="M38" s="5" t="s">
        <v>267</v>
      </c>
    </row>
    <row r="39" ht="15.75" customHeight="1">
      <c r="A39" s="5" t="s">
        <v>268</v>
      </c>
      <c r="B39" s="5" t="s">
        <v>124</v>
      </c>
      <c r="C39" s="5" t="s">
        <v>269</v>
      </c>
      <c r="D39" s="5">
        <v>42.3314</v>
      </c>
      <c r="E39" s="5">
        <v>-83.0474</v>
      </c>
      <c r="F39" s="5" t="s">
        <v>16</v>
      </c>
      <c r="G39" s="5" t="s">
        <v>270</v>
      </c>
      <c r="H39" s="5" t="s">
        <v>271</v>
      </c>
      <c r="I39" s="6" t="s">
        <v>272</v>
      </c>
      <c r="J39" s="11" t="s">
        <v>273</v>
      </c>
      <c r="K39" s="7"/>
      <c r="L39" s="8" t="s">
        <v>274</v>
      </c>
      <c r="M39" s="5" t="s">
        <v>275</v>
      </c>
    </row>
    <row r="40" ht="15.75" customHeight="1">
      <c r="A40" s="5" t="s">
        <v>276</v>
      </c>
      <c r="B40" s="5" t="s">
        <v>124</v>
      </c>
      <c r="C40" s="5" t="s">
        <v>269</v>
      </c>
      <c r="D40" s="5">
        <v>42.3314</v>
      </c>
      <c r="E40" s="5">
        <v>-83.0474</v>
      </c>
      <c r="F40" s="5" t="s">
        <v>16</v>
      </c>
      <c r="G40" s="5" t="s">
        <v>55</v>
      </c>
      <c r="H40" s="5" t="s">
        <v>277</v>
      </c>
      <c r="I40" s="6" t="s">
        <v>278</v>
      </c>
      <c r="J40" s="7"/>
      <c r="K40" s="7"/>
      <c r="L40" s="8"/>
      <c r="M40" s="5" t="s">
        <v>279</v>
      </c>
    </row>
    <row r="41" ht="15.75" customHeight="1">
      <c r="A41" s="14" t="s">
        <v>280</v>
      </c>
      <c r="B41" s="14" t="s">
        <v>124</v>
      </c>
      <c r="C41" s="14" t="s">
        <v>269</v>
      </c>
      <c r="D41" s="14">
        <v>42.3314</v>
      </c>
      <c r="E41" s="14">
        <v>-83.0474</v>
      </c>
      <c r="F41" s="18" t="s">
        <v>16</v>
      </c>
      <c r="G41" s="14" t="s">
        <v>55</v>
      </c>
      <c r="H41" s="14" t="s">
        <v>281</v>
      </c>
      <c r="I41" s="15" t="s">
        <v>282</v>
      </c>
      <c r="J41" s="17"/>
      <c r="K41" s="17"/>
      <c r="L41" s="17"/>
      <c r="M41" s="14" t="s">
        <v>283</v>
      </c>
      <c r="N41" s="18"/>
      <c r="O41" s="18"/>
      <c r="P41" s="18"/>
      <c r="Q41" s="18"/>
      <c r="R41" s="18"/>
      <c r="S41" s="18"/>
      <c r="T41" s="18"/>
      <c r="U41" s="18"/>
      <c r="V41" s="18"/>
      <c r="W41" s="18"/>
      <c r="X41" s="18"/>
      <c r="Y41" s="18"/>
      <c r="Z41" s="18"/>
      <c r="AA41" s="18"/>
      <c r="AB41" s="18"/>
      <c r="AC41" s="18"/>
    </row>
    <row r="42" ht="15.75" customHeight="1">
      <c r="A42" s="5" t="s">
        <v>284</v>
      </c>
      <c r="B42" s="5" t="s">
        <v>124</v>
      </c>
      <c r="C42" s="4" t="s">
        <v>285</v>
      </c>
      <c r="D42" s="5">
        <v>42.3289</v>
      </c>
      <c r="E42" s="5">
        <v>-83.0456</v>
      </c>
      <c r="F42" s="5" t="s">
        <v>16</v>
      </c>
      <c r="G42" s="5" t="s">
        <v>33</v>
      </c>
      <c r="H42" s="5" t="s">
        <v>286</v>
      </c>
      <c r="I42" s="6" t="s">
        <v>287</v>
      </c>
      <c r="J42" s="7"/>
      <c r="K42" s="7"/>
      <c r="L42" s="7"/>
      <c r="M42" s="5" t="s">
        <v>288</v>
      </c>
    </row>
    <row r="43" ht="15.75" customHeight="1">
      <c r="A43" s="5" t="s">
        <v>289</v>
      </c>
      <c r="B43" s="5" t="s">
        <v>124</v>
      </c>
      <c r="C43" s="5" t="s">
        <v>290</v>
      </c>
      <c r="D43" s="4">
        <v>42.3579</v>
      </c>
      <c r="E43" s="4">
        <v>-83.0649</v>
      </c>
      <c r="F43" s="4" t="s">
        <v>16</v>
      </c>
      <c r="G43" s="4" t="s">
        <v>24</v>
      </c>
      <c r="H43" s="5" t="s">
        <v>291</v>
      </c>
      <c r="I43" s="6" t="s">
        <v>292</v>
      </c>
      <c r="J43" s="8"/>
      <c r="K43" s="8" t="s">
        <v>293</v>
      </c>
      <c r="L43" s="8" t="s">
        <v>294</v>
      </c>
      <c r="M43" s="5" t="s">
        <v>295</v>
      </c>
    </row>
    <row r="44" ht="15.75" customHeight="1">
      <c r="A44" s="5" t="s">
        <v>296</v>
      </c>
      <c r="B44" s="5" t="s">
        <v>297</v>
      </c>
      <c r="C44" s="4" t="s">
        <v>298</v>
      </c>
      <c r="D44" s="5">
        <v>42.7346</v>
      </c>
      <c r="E44" s="5">
        <v>-84.4808</v>
      </c>
      <c r="F44" s="5" t="s">
        <v>16</v>
      </c>
      <c r="G44" s="5" t="s">
        <v>33</v>
      </c>
      <c r="H44" s="5" t="s">
        <v>299</v>
      </c>
      <c r="I44" s="6" t="s">
        <v>300</v>
      </c>
      <c r="J44" s="7"/>
      <c r="K44" s="8" t="s">
        <v>301</v>
      </c>
      <c r="L44" s="7"/>
      <c r="M44" s="5" t="s">
        <v>302</v>
      </c>
    </row>
    <row r="45" ht="15.75" customHeight="1">
      <c r="A45" s="5" t="s">
        <v>303</v>
      </c>
      <c r="B45" s="5" t="s">
        <v>297</v>
      </c>
      <c r="C45" s="5" t="s">
        <v>304</v>
      </c>
      <c r="D45" s="5">
        <v>42.7346</v>
      </c>
      <c r="E45" s="5">
        <v>-84.4808</v>
      </c>
      <c r="F45" s="5" t="s">
        <v>16</v>
      </c>
      <c r="G45" s="5" t="s">
        <v>89</v>
      </c>
      <c r="H45" s="5" t="s">
        <v>305</v>
      </c>
      <c r="I45" s="6" t="s">
        <v>306</v>
      </c>
      <c r="J45" s="7"/>
      <c r="K45" s="8" t="s">
        <v>301</v>
      </c>
      <c r="L45" s="7"/>
      <c r="M45" s="5" t="s">
        <v>307</v>
      </c>
    </row>
    <row r="46" ht="15.75" customHeight="1">
      <c r="A46" s="4" t="s">
        <v>308</v>
      </c>
      <c r="B46" s="5" t="s">
        <v>297</v>
      </c>
      <c r="C46" s="4" t="s">
        <v>309</v>
      </c>
      <c r="D46" s="4">
        <v>42.7346</v>
      </c>
      <c r="E46" s="4">
        <v>-84.4808</v>
      </c>
      <c r="F46" s="4" t="s">
        <v>16</v>
      </c>
      <c r="G46" s="5" t="s">
        <v>89</v>
      </c>
      <c r="H46" s="4" t="s">
        <v>310</v>
      </c>
      <c r="I46" s="6" t="s">
        <v>311</v>
      </c>
      <c r="J46" s="7"/>
      <c r="K46" s="8" t="s">
        <v>312</v>
      </c>
      <c r="L46" s="7"/>
      <c r="M46" s="4" t="s">
        <v>313</v>
      </c>
    </row>
    <row r="47" ht="15.75" customHeight="1">
      <c r="A47" s="4" t="s">
        <v>314</v>
      </c>
      <c r="B47" s="5" t="s">
        <v>297</v>
      </c>
      <c r="C47" s="5" t="s">
        <v>315</v>
      </c>
      <c r="D47" s="5">
        <v>42.7309</v>
      </c>
      <c r="E47" s="5">
        <v>-84.4832</v>
      </c>
      <c r="F47" s="4" t="s">
        <v>16</v>
      </c>
      <c r="G47" s="5" t="s">
        <v>89</v>
      </c>
      <c r="H47" s="4" t="s">
        <v>316</v>
      </c>
      <c r="I47" s="6" t="s">
        <v>317</v>
      </c>
      <c r="J47" s="7"/>
      <c r="K47" s="8">
        <v>4.1477814E9</v>
      </c>
      <c r="L47" s="7"/>
      <c r="M47" s="23" t="s">
        <v>318</v>
      </c>
    </row>
    <row r="48" ht="15.75" customHeight="1">
      <c r="A48" s="5" t="s">
        <v>319</v>
      </c>
      <c r="B48" s="5" t="s">
        <v>320</v>
      </c>
      <c r="C48" s="4" t="s">
        <v>321</v>
      </c>
      <c r="D48" s="4">
        <v>42.5063</v>
      </c>
      <c r="E48" s="4">
        <v>-83.3776</v>
      </c>
      <c r="F48" s="4" t="s">
        <v>16</v>
      </c>
      <c r="G48" s="5" t="s">
        <v>33</v>
      </c>
      <c r="H48" s="5" t="s">
        <v>322</v>
      </c>
      <c r="I48" s="6" t="s">
        <v>323</v>
      </c>
      <c r="J48" s="9" t="s">
        <v>324</v>
      </c>
      <c r="K48" s="11">
        <v>2.484899E9</v>
      </c>
      <c r="L48" s="7"/>
      <c r="M48" s="5" t="s">
        <v>325</v>
      </c>
    </row>
    <row r="49" ht="15.75" customHeight="1">
      <c r="A49" s="5" t="s">
        <v>326</v>
      </c>
      <c r="B49" s="5" t="s">
        <v>261</v>
      </c>
      <c r="C49" s="5" t="s">
        <v>327</v>
      </c>
      <c r="D49" s="5">
        <v>43.0148</v>
      </c>
      <c r="E49" s="5">
        <v>-83.6893</v>
      </c>
      <c r="F49" s="5" t="s">
        <v>16</v>
      </c>
      <c r="G49" s="5" t="s">
        <v>328</v>
      </c>
      <c r="H49" s="5" t="s">
        <v>329</v>
      </c>
      <c r="I49" s="6" t="s">
        <v>330</v>
      </c>
      <c r="J49" s="9" t="s">
        <v>331</v>
      </c>
      <c r="K49" s="8" t="s">
        <v>332</v>
      </c>
      <c r="L49" s="7"/>
      <c r="M49" s="5" t="s">
        <v>333</v>
      </c>
    </row>
    <row r="50" ht="15.75" customHeight="1">
      <c r="A50" s="5" t="s">
        <v>334</v>
      </c>
      <c r="B50" s="5" t="s">
        <v>116</v>
      </c>
      <c r="C50" s="5" t="s">
        <v>335</v>
      </c>
      <c r="D50" s="5">
        <v>42.723</v>
      </c>
      <c r="E50" s="5">
        <v>-84.5527</v>
      </c>
      <c r="F50" s="5" t="s">
        <v>16</v>
      </c>
      <c r="G50" s="5" t="s">
        <v>55</v>
      </c>
      <c r="H50" s="5" t="s">
        <v>336</v>
      </c>
      <c r="I50" s="6" t="s">
        <v>337</v>
      </c>
      <c r="J50" s="11" t="s">
        <v>338</v>
      </c>
      <c r="K50" s="7"/>
      <c r="L50" s="11" t="s">
        <v>339</v>
      </c>
      <c r="M50" s="5" t="s">
        <v>340</v>
      </c>
    </row>
    <row r="51" ht="15.75" customHeight="1">
      <c r="A51" s="4" t="s">
        <v>341</v>
      </c>
      <c r="B51" s="5" t="s">
        <v>116</v>
      </c>
      <c r="C51" s="4" t="s">
        <v>342</v>
      </c>
      <c r="D51" s="4">
        <v>42.7333</v>
      </c>
      <c r="E51" s="5">
        <v>-84.5518</v>
      </c>
      <c r="F51" s="4" t="s">
        <v>16</v>
      </c>
      <c r="G51" s="5" t="s">
        <v>270</v>
      </c>
      <c r="H51" s="4" t="s">
        <v>343</v>
      </c>
      <c r="I51" s="6" t="s">
        <v>344</v>
      </c>
      <c r="J51" s="9" t="s">
        <v>345</v>
      </c>
      <c r="K51" s="8" t="s">
        <v>346</v>
      </c>
      <c r="L51" s="8" t="s">
        <v>347</v>
      </c>
      <c r="M51" s="4" t="s">
        <v>348</v>
      </c>
    </row>
    <row r="52" ht="15.75" customHeight="1">
      <c r="A52" s="4" t="s">
        <v>349</v>
      </c>
      <c r="B52" s="5" t="s">
        <v>116</v>
      </c>
      <c r="C52" s="5" t="s">
        <v>199</v>
      </c>
      <c r="D52" s="5">
        <v>42.7362</v>
      </c>
      <c r="E52" s="5">
        <v>-84.5513</v>
      </c>
      <c r="F52" s="4" t="s">
        <v>16</v>
      </c>
      <c r="G52" s="4" t="s">
        <v>70</v>
      </c>
      <c r="H52" s="4" t="s">
        <v>350</v>
      </c>
      <c r="I52" s="6" t="s">
        <v>351</v>
      </c>
      <c r="J52" s="11" t="s">
        <v>352</v>
      </c>
      <c r="K52" s="7"/>
      <c r="L52" s="8" t="s">
        <v>353</v>
      </c>
      <c r="M52" s="4" t="s">
        <v>354</v>
      </c>
    </row>
    <row r="53" ht="15.75" customHeight="1">
      <c r="A53" s="4" t="s">
        <v>355</v>
      </c>
      <c r="B53" s="5" t="s">
        <v>116</v>
      </c>
      <c r="C53" s="5" t="s">
        <v>356</v>
      </c>
      <c r="D53" s="5">
        <v>42.7325</v>
      </c>
      <c r="E53" s="5">
        <v>-84.5419</v>
      </c>
      <c r="F53" s="4" t="s">
        <v>16</v>
      </c>
      <c r="G53" s="5" t="s">
        <v>270</v>
      </c>
      <c r="H53" s="4" t="s">
        <v>357</v>
      </c>
      <c r="I53" s="6" t="s">
        <v>358</v>
      </c>
      <c r="J53" s="7"/>
      <c r="K53" s="8" t="s">
        <v>359</v>
      </c>
      <c r="L53" s="8"/>
      <c r="M53" s="4" t="s">
        <v>360</v>
      </c>
    </row>
    <row r="54" ht="15.75" customHeight="1">
      <c r="A54" s="14" t="s">
        <v>361</v>
      </c>
      <c r="B54" s="14" t="s">
        <v>362</v>
      </c>
      <c r="C54" s="14" t="s">
        <v>363</v>
      </c>
      <c r="D54" s="18">
        <v>47.1216</v>
      </c>
      <c r="E54" s="18">
        <v>-88.5694</v>
      </c>
      <c r="F54" s="18" t="s">
        <v>16</v>
      </c>
      <c r="G54" s="18" t="s">
        <v>24</v>
      </c>
      <c r="H54" s="14" t="s">
        <v>364</v>
      </c>
      <c r="I54" s="15" t="s">
        <v>365</v>
      </c>
      <c r="J54" s="17"/>
      <c r="K54" s="24"/>
      <c r="L54" s="17"/>
      <c r="M54" s="14" t="s">
        <v>366</v>
      </c>
      <c r="N54" s="18"/>
      <c r="O54" s="18"/>
      <c r="P54" s="18"/>
      <c r="Q54" s="18"/>
      <c r="R54" s="18"/>
      <c r="S54" s="18"/>
      <c r="T54" s="18"/>
      <c r="U54" s="18"/>
      <c r="V54" s="18"/>
      <c r="W54" s="18"/>
      <c r="X54" s="18"/>
      <c r="Y54" s="18"/>
      <c r="Z54" s="18"/>
      <c r="AA54" s="18"/>
      <c r="AB54" s="18"/>
      <c r="AC54" s="18"/>
    </row>
    <row r="55" ht="15.75" customHeight="1">
      <c r="A55" s="5" t="s">
        <v>367</v>
      </c>
      <c r="B55" s="5" t="s">
        <v>368</v>
      </c>
      <c r="C55" s="5" t="s">
        <v>369</v>
      </c>
      <c r="D55" s="5">
        <v>42.3705</v>
      </c>
      <c r="E55" s="5">
        <v>-83.4839</v>
      </c>
      <c r="F55" s="4" t="s">
        <v>16</v>
      </c>
      <c r="G55" s="5" t="s">
        <v>89</v>
      </c>
      <c r="H55" s="5" t="s">
        <v>370</v>
      </c>
      <c r="I55" s="6" t="s">
        <v>371</v>
      </c>
      <c r="J55" s="7"/>
      <c r="K55" s="8" t="s">
        <v>372</v>
      </c>
      <c r="L55" s="7"/>
      <c r="M55" s="5" t="s">
        <v>373</v>
      </c>
    </row>
    <row r="56" ht="15.75" customHeight="1">
      <c r="A56" s="5" t="s">
        <v>374</v>
      </c>
      <c r="B56" s="5" t="s">
        <v>375</v>
      </c>
      <c r="C56" s="5" t="s">
        <v>376</v>
      </c>
      <c r="D56" s="5">
        <v>42.6626</v>
      </c>
      <c r="E56" s="5">
        <v>-83.1866</v>
      </c>
      <c r="F56" s="5" t="s">
        <v>16</v>
      </c>
      <c r="G56" s="5" t="s">
        <v>89</v>
      </c>
      <c r="H56" s="5" t="s">
        <v>377</v>
      </c>
      <c r="I56" s="6" t="s">
        <v>378</v>
      </c>
      <c r="J56" s="9" t="s">
        <v>379</v>
      </c>
      <c r="K56" s="8" t="s">
        <v>380</v>
      </c>
      <c r="L56" s="8" t="s">
        <v>381</v>
      </c>
      <c r="M56" s="5" t="s">
        <v>382</v>
      </c>
    </row>
    <row r="57" ht="15.75" customHeight="1">
      <c r="A57" s="5" t="s">
        <v>383</v>
      </c>
      <c r="B57" s="5" t="s">
        <v>384</v>
      </c>
      <c r="C57" s="5" t="s">
        <v>385</v>
      </c>
      <c r="D57" s="5">
        <v>42.4739</v>
      </c>
      <c r="E57" s="5">
        <v>-83.2441</v>
      </c>
      <c r="F57" s="5" t="s">
        <v>16</v>
      </c>
      <c r="G57" s="5" t="s">
        <v>89</v>
      </c>
      <c r="H57" s="5" t="s">
        <v>386</v>
      </c>
      <c r="I57" s="6" t="s">
        <v>387</v>
      </c>
      <c r="J57" s="9" t="s">
        <v>388</v>
      </c>
      <c r="K57" s="11" t="s">
        <v>389</v>
      </c>
      <c r="L57" s="8"/>
      <c r="M57" s="5" t="s">
        <v>390</v>
      </c>
    </row>
    <row r="58" ht="15.75" customHeight="1">
      <c r="A58" s="5" t="s">
        <v>391</v>
      </c>
      <c r="B58" s="5" t="s">
        <v>392</v>
      </c>
      <c r="C58" s="5" t="s">
        <v>393</v>
      </c>
      <c r="D58" s="5">
        <v>42.560326</v>
      </c>
      <c r="E58" s="5">
        <v>-83.11544</v>
      </c>
      <c r="F58" s="5" t="s">
        <v>16</v>
      </c>
      <c r="G58" s="5" t="s">
        <v>89</v>
      </c>
      <c r="H58" s="5" t="s">
        <v>394</v>
      </c>
      <c r="I58" s="6" t="s">
        <v>395</v>
      </c>
      <c r="J58" s="8" t="s">
        <v>396</v>
      </c>
      <c r="K58" s="11">
        <v>2.484573301E9</v>
      </c>
      <c r="L58" s="8" t="s">
        <v>397</v>
      </c>
      <c r="M58" s="5" t="s">
        <v>398</v>
      </c>
    </row>
    <row r="59" ht="15.75" customHeight="1">
      <c r="A59" s="25" t="s">
        <v>399</v>
      </c>
      <c r="B59" s="25" t="s">
        <v>400</v>
      </c>
      <c r="C59" s="25" t="s">
        <v>401</v>
      </c>
      <c r="D59" s="26">
        <v>42.962015</v>
      </c>
      <c r="E59" s="26">
        <v>-85.679395</v>
      </c>
      <c r="F59" s="26" t="s">
        <v>16</v>
      </c>
      <c r="G59" s="5" t="s">
        <v>55</v>
      </c>
      <c r="H59" s="25" t="s">
        <v>402</v>
      </c>
      <c r="I59" s="6" t="s">
        <v>403</v>
      </c>
      <c r="J59" s="11" t="s">
        <v>404</v>
      </c>
      <c r="K59" s="11"/>
      <c r="L59" s="8" t="s">
        <v>405</v>
      </c>
      <c r="M59" s="25" t="s">
        <v>406</v>
      </c>
      <c r="N59" s="26"/>
      <c r="O59" s="26"/>
      <c r="P59" s="26"/>
      <c r="Q59" s="26"/>
      <c r="R59" s="26"/>
      <c r="S59" s="26"/>
      <c r="T59" s="26"/>
      <c r="U59" s="26"/>
      <c r="V59" s="26"/>
      <c r="W59" s="26"/>
      <c r="X59" s="26"/>
      <c r="Y59" s="26"/>
      <c r="Z59" s="26"/>
      <c r="AA59" s="26"/>
      <c r="AB59" s="26"/>
      <c r="AC59" s="26"/>
    </row>
    <row r="60" ht="15.75" customHeight="1">
      <c r="A60" s="25" t="s">
        <v>407</v>
      </c>
      <c r="B60" s="25" t="s">
        <v>116</v>
      </c>
      <c r="C60" s="25" t="s">
        <v>408</v>
      </c>
      <c r="D60" s="26">
        <v>42.7359</v>
      </c>
      <c r="E60" s="26">
        <v>-84.5516</v>
      </c>
      <c r="F60" s="26" t="s">
        <v>16</v>
      </c>
      <c r="G60" s="5" t="s">
        <v>55</v>
      </c>
      <c r="H60" s="25" t="s">
        <v>402</v>
      </c>
      <c r="I60" s="6" t="s">
        <v>403</v>
      </c>
      <c r="J60" s="11" t="s">
        <v>404</v>
      </c>
      <c r="K60" s="27"/>
      <c r="L60" s="8" t="s">
        <v>405</v>
      </c>
      <c r="M60" s="25" t="s">
        <v>409</v>
      </c>
      <c r="N60" s="26"/>
      <c r="O60" s="26"/>
      <c r="P60" s="26"/>
      <c r="Q60" s="26"/>
      <c r="R60" s="26"/>
      <c r="S60" s="26"/>
      <c r="T60" s="26"/>
      <c r="U60" s="26"/>
      <c r="V60" s="26"/>
      <c r="W60" s="26"/>
      <c r="X60" s="26"/>
      <c r="Y60" s="26"/>
      <c r="Z60" s="26"/>
      <c r="AA60" s="26"/>
      <c r="AB60" s="26"/>
      <c r="AC60" s="26"/>
    </row>
    <row r="61" ht="15.75" customHeight="1">
      <c r="A61" s="25" t="s">
        <v>410</v>
      </c>
      <c r="B61" s="25" t="s">
        <v>261</v>
      </c>
      <c r="C61" s="25" t="s">
        <v>411</v>
      </c>
      <c r="D61" s="26">
        <v>43.013561</v>
      </c>
      <c r="E61" s="26">
        <v>-83.713943</v>
      </c>
      <c r="F61" s="26" t="s">
        <v>16</v>
      </c>
      <c r="G61" s="5" t="s">
        <v>55</v>
      </c>
      <c r="H61" s="25" t="s">
        <v>402</v>
      </c>
      <c r="I61" s="6" t="s">
        <v>403</v>
      </c>
      <c r="J61" s="11" t="s">
        <v>404</v>
      </c>
      <c r="K61" s="27"/>
      <c r="L61" s="8" t="s">
        <v>405</v>
      </c>
      <c r="M61" s="25" t="s">
        <v>412</v>
      </c>
      <c r="N61" s="26"/>
      <c r="O61" s="26"/>
      <c r="P61" s="26"/>
      <c r="Q61" s="26"/>
      <c r="R61" s="26"/>
      <c r="S61" s="26"/>
      <c r="T61" s="26"/>
      <c r="U61" s="26"/>
      <c r="V61" s="26"/>
      <c r="W61" s="26"/>
      <c r="X61" s="26"/>
      <c r="Y61" s="26"/>
      <c r="Z61" s="26"/>
      <c r="AA61" s="26"/>
      <c r="AB61" s="26"/>
      <c r="AC61" s="26"/>
    </row>
    <row r="62" ht="15.75" customHeight="1">
      <c r="A62" s="25" t="s">
        <v>413</v>
      </c>
      <c r="B62" s="25" t="s">
        <v>414</v>
      </c>
      <c r="C62" s="25" t="s">
        <v>415</v>
      </c>
      <c r="D62" s="26">
        <v>43.5136</v>
      </c>
      <c r="E62" s="26">
        <v>-83.96116</v>
      </c>
      <c r="F62" s="26" t="s">
        <v>16</v>
      </c>
      <c r="G62" s="5" t="s">
        <v>55</v>
      </c>
      <c r="H62" s="25" t="s">
        <v>402</v>
      </c>
      <c r="I62" s="6" t="s">
        <v>403</v>
      </c>
      <c r="J62" s="11" t="s">
        <v>404</v>
      </c>
      <c r="K62" s="27"/>
      <c r="L62" s="8" t="s">
        <v>405</v>
      </c>
      <c r="M62" s="25" t="s">
        <v>416</v>
      </c>
      <c r="N62" s="26"/>
      <c r="O62" s="26"/>
      <c r="P62" s="26"/>
      <c r="Q62" s="26"/>
      <c r="R62" s="26"/>
      <c r="S62" s="26"/>
      <c r="T62" s="26"/>
      <c r="U62" s="26"/>
      <c r="V62" s="26"/>
      <c r="W62" s="26"/>
      <c r="X62" s="26"/>
      <c r="Y62" s="26"/>
      <c r="Z62" s="26"/>
      <c r="AA62" s="26"/>
      <c r="AB62" s="26"/>
      <c r="AC62" s="26"/>
    </row>
    <row r="63" ht="15.75" customHeight="1">
      <c r="A63" s="25" t="s">
        <v>417</v>
      </c>
      <c r="B63" s="25" t="s">
        <v>14</v>
      </c>
      <c r="C63" s="25" t="s">
        <v>418</v>
      </c>
      <c r="D63" s="26">
        <v>42.26256</v>
      </c>
      <c r="E63" s="28">
        <v>-83.66229</v>
      </c>
      <c r="F63" s="26" t="s">
        <v>16</v>
      </c>
      <c r="G63" s="5" t="s">
        <v>55</v>
      </c>
      <c r="H63" s="25" t="s">
        <v>402</v>
      </c>
      <c r="I63" s="6" t="s">
        <v>403</v>
      </c>
      <c r="J63" s="11" t="s">
        <v>404</v>
      </c>
      <c r="K63" s="27"/>
      <c r="L63" s="8" t="s">
        <v>405</v>
      </c>
      <c r="M63" s="25" t="s">
        <v>419</v>
      </c>
      <c r="N63" s="26"/>
      <c r="O63" s="26"/>
      <c r="P63" s="26"/>
      <c r="Q63" s="26"/>
      <c r="R63" s="26"/>
      <c r="S63" s="26"/>
      <c r="T63" s="26"/>
      <c r="U63" s="26"/>
      <c r="V63" s="26"/>
      <c r="W63" s="26"/>
      <c r="X63" s="26"/>
      <c r="Y63" s="26"/>
      <c r="Z63" s="26"/>
      <c r="AA63" s="26"/>
      <c r="AB63" s="26"/>
      <c r="AC63" s="26"/>
    </row>
    <row r="64" ht="15.75" customHeight="1">
      <c r="A64" s="25" t="s">
        <v>420</v>
      </c>
      <c r="B64" s="25" t="s">
        <v>421</v>
      </c>
      <c r="C64" s="25" t="s">
        <v>422</v>
      </c>
      <c r="D64" s="26">
        <v>43.603749228278</v>
      </c>
      <c r="E64" s="26">
        <v>-84.7295607029958</v>
      </c>
      <c r="F64" s="26" t="s">
        <v>16</v>
      </c>
      <c r="G64" s="5" t="s">
        <v>55</v>
      </c>
      <c r="H64" s="25" t="s">
        <v>402</v>
      </c>
      <c r="I64" s="6" t="s">
        <v>403</v>
      </c>
      <c r="J64" s="11" t="s">
        <v>404</v>
      </c>
      <c r="K64" s="27"/>
      <c r="L64" s="8" t="s">
        <v>405</v>
      </c>
      <c r="M64" s="25" t="s">
        <v>423</v>
      </c>
      <c r="N64" s="26"/>
      <c r="O64" s="26"/>
      <c r="P64" s="26"/>
      <c r="Q64" s="26"/>
      <c r="R64" s="26"/>
      <c r="S64" s="26"/>
      <c r="T64" s="26"/>
      <c r="U64" s="26"/>
      <c r="V64" s="26"/>
      <c r="W64" s="26"/>
      <c r="X64" s="26"/>
      <c r="Y64" s="26"/>
      <c r="Z64" s="26"/>
      <c r="AA64" s="26"/>
      <c r="AB64" s="26"/>
      <c r="AC64" s="26"/>
    </row>
    <row r="65" ht="15.75" customHeight="1">
      <c r="A65" s="25" t="s">
        <v>424</v>
      </c>
      <c r="B65" s="25" t="s">
        <v>425</v>
      </c>
      <c r="C65" s="25" t="s">
        <v>426</v>
      </c>
      <c r="D65" s="26">
        <v>44.2650976710796</v>
      </c>
      <c r="E65" s="29">
        <v>-85.3846577643363</v>
      </c>
      <c r="F65" s="26" t="s">
        <v>16</v>
      </c>
      <c r="G65" s="5" t="s">
        <v>55</v>
      </c>
      <c r="H65" s="25" t="s">
        <v>402</v>
      </c>
      <c r="I65" s="6" t="s">
        <v>403</v>
      </c>
      <c r="J65" s="11" t="s">
        <v>404</v>
      </c>
      <c r="K65" s="27"/>
      <c r="L65" s="8" t="s">
        <v>405</v>
      </c>
      <c r="M65" s="25" t="s">
        <v>427</v>
      </c>
      <c r="N65" s="26"/>
      <c r="O65" s="26"/>
      <c r="P65" s="26"/>
      <c r="Q65" s="26"/>
      <c r="R65" s="26"/>
      <c r="S65" s="26"/>
      <c r="T65" s="26"/>
      <c r="U65" s="26"/>
      <c r="V65" s="26"/>
      <c r="W65" s="26"/>
      <c r="X65" s="26"/>
      <c r="Y65" s="26"/>
      <c r="Z65" s="26"/>
      <c r="AA65" s="26"/>
      <c r="AB65" s="26"/>
      <c r="AC65" s="26"/>
    </row>
    <row r="66" ht="15.75" customHeight="1">
      <c r="A66" s="25" t="s">
        <v>428</v>
      </c>
      <c r="B66" s="25" t="s">
        <v>429</v>
      </c>
      <c r="C66" s="25" t="s">
        <v>430</v>
      </c>
      <c r="D66" s="26">
        <v>42.2513190482976</v>
      </c>
      <c r="E66" s="26">
        <v>-83.6291335707632</v>
      </c>
      <c r="F66" s="26" t="s">
        <v>16</v>
      </c>
      <c r="G66" s="5" t="s">
        <v>55</v>
      </c>
      <c r="H66" s="25" t="s">
        <v>402</v>
      </c>
      <c r="I66" s="6" t="s">
        <v>403</v>
      </c>
      <c r="J66" s="11" t="s">
        <v>404</v>
      </c>
      <c r="K66" s="27"/>
      <c r="L66" s="8" t="s">
        <v>405</v>
      </c>
      <c r="M66" s="25" t="s">
        <v>431</v>
      </c>
      <c r="N66" s="26"/>
      <c r="O66" s="26"/>
      <c r="P66" s="26"/>
      <c r="Q66" s="26"/>
      <c r="R66" s="26"/>
      <c r="S66" s="26"/>
      <c r="T66" s="26"/>
      <c r="U66" s="26"/>
      <c r="V66" s="26"/>
      <c r="W66" s="26"/>
      <c r="X66" s="26"/>
      <c r="Y66" s="26"/>
      <c r="Z66" s="26"/>
      <c r="AA66" s="26"/>
      <c r="AB66" s="26"/>
      <c r="AC66" s="26"/>
    </row>
    <row r="67" ht="15.75" customHeight="1">
      <c r="A67" s="25" t="s">
        <v>432</v>
      </c>
      <c r="B67" s="25" t="s">
        <v>433</v>
      </c>
      <c r="C67" s="25" t="s">
        <v>434</v>
      </c>
      <c r="D67" s="26">
        <v>42.2841019694694</v>
      </c>
      <c r="E67" s="26">
        <v>-85.5977103877162</v>
      </c>
      <c r="F67" s="26" t="s">
        <v>16</v>
      </c>
      <c r="G67" s="5" t="s">
        <v>55</v>
      </c>
      <c r="H67" s="25" t="s">
        <v>402</v>
      </c>
      <c r="I67" s="6" t="s">
        <v>403</v>
      </c>
      <c r="J67" s="11" t="s">
        <v>404</v>
      </c>
      <c r="K67" s="27"/>
      <c r="L67" s="8" t="s">
        <v>405</v>
      </c>
      <c r="M67" s="25" t="s">
        <v>435</v>
      </c>
      <c r="N67" s="26"/>
      <c r="O67" s="26"/>
      <c r="P67" s="26"/>
      <c r="Q67" s="26"/>
      <c r="R67" s="26"/>
      <c r="S67" s="26"/>
      <c r="T67" s="26"/>
      <c r="U67" s="26"/>
      <c r="V67" s="26"/>
      <c r="W67" s="26"/>
      <c r="X67" s="26"/>
      <c r="Y67" s="26"/>
      <c r="Z67" s="26"/>
      <c r="AA67" s="26"/>
      <c r="AB67" s="26"/>
      <c r="AC67" s="26"/>
    </row>
    <row r="68" ht="15.75" customHeight="1">
      <c r="A68" s="25" t="s">
        <v>436</v>
      </c>
      <c r="B68" s="25" t="s">
        <v>362</v>
      </c>
      <c r="C68" s="25" t="s">
        <v>363</v>
      </c>
      <c r="D68" s="26">
        <v>47.1216</v>
      </c>
      <c r="E68" s="26">
        <v>-88.5694</v>
      </c>
      <c r="F68" s="26" t="s">
        <v>16</v>
      </c>
      <c r="G68" s="5" t="s">
        <v>55</v>
      </c>
      <c r="H68" s="25" t="s">
        <v>402</v>
      </c>
      <c r="I68" s="6" t="s">
        <v>403</v>
      </c>
      <c r="J68" s="11" t="s">
        <v>404</v>
      </c>
      <c r="K68" s="27"/>
      <c r="L68" s="8" t="s">
        <v>405</v>
      </c>
      <c r="M68" s="25" t="s">
        <v>437</v>
      </c>
      <c r="N68" s="26"/>
      <c r="O68" s="26"/>
      <c r="P68" s="26"/>
      <c r="Q68" s="26"/>
      <c r="R68" s="26"/>
      <c r="S68" s="26"/>
      <c r="T68" s="26"/>
      <c r="U68" s="26"/>
      <c r="V68" s="26"/>
      <c r="W68" s="26"/>
      <c r="X68" s="26"/>
      <c r="Y68" s="26"/>
      <c r="Z68" s="26"/>
      <c r="AA68" s="26"/>
      <c r="AB68" s="26"/>
      <c r="AC68" s="26"/>
    </row>
    <row r="69" ht="15.75" customHeight="1">
      <c r="A69" s="25" t="s">
        <v>438</v>
      </c>
      <c r="B69" s="25" t="s">
        <v>400</v>
      </c>
      <c r="C69" s="25" t="s">
        <v>439</v>
      </c>
      <c r="D69" s="26">
        <v>42.9618343429473</v>
      </c>
      <c r="E69" s="26">
        <v>-85.6792428032635</v>
      </c>
      <c r="F69" s="26" t="s">
        <v>16</v>
      </c>
      <c r="G69" s="5" t="s">
        <v>55</v>
      </c>
      <c r="H69" s="25" t="s">
        <v>402</v>
      </c>
      <c r="I69" s="6" t="s">
        <v>403</v>
      </c>
      <c r="J69" s="11" t="s">
        <v>404</v>
      </c>
      <c r="K69" s="27"/>
      <c r="L69" s="8" t="s">
        <v>405</v>
      </c>
      <c r="M69" s="25" t="s">
        <v>440</v>
      </c>
      <c r="N69" s="26"/>
      <c r="O69" s="26"/>
      <c r="P69" s="26"/>
      <c r="Q69" s="26"/>
      <c r="R69" s="26"/>
      <c r="S69" s="26"/>
      <c r="T69" s="26"/>
      <c r="U69" s="26"/>
      <c r="V69" s="26"/>
      <c r="W69" s="26"/>
      <c r="X69" s="26"/>
      <c r="Y69" s="26"/>
      <c r="Z69" s="26"/>
      <c r="AA69" s="26"/>
      <c r="AB69" s="26"/>
      <c r="AC69" s="26"/>
    </row>
    <row r="70" ht="15.75" customHeight="1">
      <c r="A70" s="5" t="s">
        <v>441</v>
      </c>
      <c r="B70" s="5" t="s">
        <v>124</v>
      </c>
      <c r="C70" s="4" t="s">
        <v>442</v>
      </c>
      <c r="D70" s="4">
        <v>42.3363112874535</v>
      </c>
      <c r="E70" s="4">
        <v>-83.0494101186391</v>
      </c>
      <c r="F70" s="4" t="s">
        <v>16</v>
      </c>
      <c r="G70" s="5" t="s">
        <v>33</v>
      </c>
      <c r="H70" s="5" t="s">
        <v>443</v>
      </c>
      <c r="I70" s="6" t="s">
        <v>444</v>
      </c>
      <c r="J70" s="9" t="s">
        <v>445</v>
      </c>
      <c r="K70" s="7"/>
      <c r="L70" s="7"/>
      <c r="M70" s="5" t="s">
        <v>446</v>
      </c>
    </row>
    <row r="71" ht="15.75" customHeight="1">
      <c r="A71" s="5" t="s">
        <v>447</v>
      </c>
      <c r="B71" s="5" t="s">
        <v>14</v>
      </c>
      <c r="C71" s="4" t="s">
        <v>448</v>
      </c>
      <c r="D71" s="4">
        <v>42.2802835771664</v>
      </c>
      <c r="E71" s="4">
        <v>-83.7475996609704</v>
      </c>
      <c r="F71" s="4" t="s">
        <v>16</v>
      </c>
      <c r="G71" s="5" t="s">
        <v>33</v>
      </c>
      <c r="H71" s="5" t="s">
        <v>449</v>
      </c>
      <c r="I71" s="6" t="s">
        <v>450</v>
      </c>
      <c r="J71" s="9" t="s">
        <v>451</v>
      </c>
      <c r="K71" s="7"/>
      <c r="L71" s="7"/>
      <c r="M71" s="5" t="s">
        <v>452</v>
      </c>
    </row>
    <row r="72" ht="15.75" customHeight="1">
      <c r="A72" s="14" t="s">
        <v>453</v>
      </c>
      <c r="B72" s="14" t="s">
        <v>454</v>
      </c>
      <c r="C72" s="18" t="s">
        <v>455</v>
      </c>
      <c r="D72" s="18">
        <v>42.4137705044993</v>
      </c>
      <c r="E72" s="18">
        <v>-82.8861309964246</v>
      </c>
      <c r="F72" s="18" t="s">
        <v>16</v>
      </c>
      <c r="G72" s="14" t="s">
        <v>33</v>
      </c>
      <c r="H72" s="14" t="s">
        <v>456</v>
      </c>
      <c r="I72" s="15" t="s">
        <v>457</v>
      </c>
      <c r="J72" s="17"/>
      <c r="K72" s="17"/>
      <c r="L72" s="17"/>
      <c r="M72" s="14" t="s">
        <v>458</v>
      </c>
      <c r="N72" s="18"/>
      <c r="O72" s="18"/>
      <c r="P72" s="18"/>
      <c r="Q72" s="18"/>
      <c r="R72" s="18"/>
      <c r="S72" s="18"/>
      <c r="T72" s="18"/>
      <c r="U72" s="18"/>
      <c r="V72" s="18"/>
      <c r="W72" s="18"/>
      <c r="X72" s="18"/>
      <c r="Y72" s="18"/>
      <c r="Z72" s="18"/>
      <c r="AA72" s="18"/>
      <c r="AB72" s="18"/>
      <c r="AC72" s="18"/>
    </row>
    <row r="73" ht="15.75" customHeight="1">
      <c r="A73" s="5" t="s">
        <v>459</v>
      </c>
      <c r="B73" s="5" t="s">
        <v>124</v>
      </c>
      <c r="C73" s="5" t="s">
        <v>460</v>
      </c>
      <c r="D73" s="4">
        <v>42.3301624156204</v>
      </c>
      <c r="E73" s="4">
        <v>-83.0383373727324</v>
      </c>
      <c r="F73" s="4" t="s">
        <v>16</v>
      </c>
      <c r="G73" s="5" t="s">
        <v>240</v>
      </c>
      <c r="H73" s="5" t="s">
        <v>461</v>
      </c>
      <c r="I73" s="6" t="s">
        <v>462</v>
      </c>
      <c r="J73" s="11" t="s">
        <v>463</v>
      </c>
      <c r="K73" s="7"/>
      <c r="L73" s="8" t="s">
        <v>464</v>
      </c>
      <c r="M73" s="5" t="s">
        <v>465</v>
      </c>
    </row>
    <row r="74" ht="15.75" customHeight="1">
      <c r="A74" s="5" t="s">
        <v>466</v>
      </c>
      <c r="B74" s="5" t="s">
        <v>124</v>
      </c>
      <c r="C74" s="5" t="s">
        <v>467</v>
      </c>
      <c r="D74" s="4">
        <v>42.3363112874535</v>
      </c>
      <c r="E74" s="4">
        <v>-85.6792428032635</v>
      </c>
      <c r="F74" s="5" t="s">
        <v>16</v>
      </c>
      <c r="G74" s="5" t="s">
        <v>33</v>
      </c>
      <c r="H74" s="5" t="s">
        <v>468</v>
      </c>
      <c r="I74" s="6" t="s">
        <v>469</v>
      </c>
      <c r="J74" s="9" t="s">
        <v>470</v>
      </c>
      <c r="K74" s="7"/>
      <c r="L74" s="8"/>
      <c r="M74" s="5" t="s">
        <v>471</v>
      </c>
    </row>
    <row r="75" ht="15.75" customHeight="1">
      <c r="A75" s="14" t="s">
        <v>472</v>
      </c>
      <c r="B75" s="14" t="s">
        <v>124</v>
      </c>
      <c r="C75" s="14" t="s">
        <v>473</v>
      </c>
      <c r="D75" s="14">
        <v>42.3258</v>
      </c>
      <c r="E75" s="14">
        <v>-83.0735</v>
      </c>
      <c r="F75" s="14" t="s">
        <v>16</v>
      </c>
      <c r="G75" s="14" t="s">
        <v>70</v>
      </c>
      <c r="H75" s="14" t="s">
        <v>474</v>
      </c>
      <c r="I75" s="15" t="s">
        <v>475</v>
      </c>
      <c r="J75" s="17"/>
      <c r="K75" s="17"/>
      <c r="L75" s="17"/>
      <c r="M75" s="14" t="s">
        <v>476</v>
      </c>
      <c r="N75" s="18"/>
      <c r="O75" s="18"/>
      <c r="P75" s="18"/>
      <c r="Q75" s="18"/>
      <c r="R75" s="18"/>
      <c r="S75" s="18"/>
      <c r="T75" s="18"/>
      <c r="U75" s="18"/>
      <c r="V75" s="18"/>
      <c r="W75" s="18"/>
      <c r="X75" s="18"/>
      <c r="Y75" s="18"/>
      <c r="Z75" s="18"/>
      <c r="AA75" s="18"/>
      <c r="AB75" s="18"/>
      <c r="AC75" s="18"/>
    </row>
    <row r="76" ht="15.75" customHeight="1">
      <c r="A76" s="14" t="s">
        <v>477</v>
      </c>
      <c r="B76" s="14" t="s">
        <v>124</v>
      </c>
      <c r="C76" s="14" t="s">
        <v>478</v>
      </c>
      <c r="D76" s="14">
        <v>42.3646177528935</v>
      </c>
      <c r="E76" s="14">
        <v>-83.0727657321303</v>
      </c>
      <c r="F76" s="14" t="s">
        <v>16</v>
      </c>
      <c r="G76" s="14" t="s">
        <v>240</v>
      </c>
      <c r="H76" s="14" t="s">
        <v>479</v>
      </c>
      <c r="I76" s="15" t="s">
        <v>480</v>
      </c>
      <c r="J76" s="17"/>
      <c r="K76" s="17"/>
      <c r="L76" s="17"/>
      <c r="M76" s="14" t="s">
        <v>481</v>
      </c>
      <c r="N76" s="18"/>
      <c r="O76" s="18"/>
      <c r="P76" s="18"/>
      <c r="Q76" s="18"/>
      <c r="R76" s="18"/>
      <c r="S76" s="18"/>
      <c r="T76" s="18"/>
      <c r="U76" s="18"/>
      <c r="V76" s="18"/>
      <c r="W76" s="18"/>
      <c r="X76" s="18"/>
      <c r="Y76" s="18"/>
      <c r="Z76" s="18"/>
      <c r="AA76" s="18"/>
      <c r="AB76" s="18"/>
      <c r="AC76" s="18"/>
    </row>
    <row r="77" ht="15.75" customHeight="1">
      <c r="A77" s="14" t="s">
        <v>482</v>
      </c>
      <c r="B77" s="14" t="s">
        <v>124</v>
      </c>
      <c r="C77" s="18" t="s">
        <v>442</v>
      </c>
      <c r="D77" s="18">
        <v>42.3363112874535</v>
      </c>
      <c r="E77" s="18">
        <v>-83.0494101186391</v>
      </c>
      <c r="F77" s="18" t="s">
        <v>16</v>
      </c>
      <c r="G77" s="14" t="s">
        <v>33</v>
      </c>
      <c r="H77" s="14" t="s">
        <v>483</v>
      </c>
      <c r="I77" s="15" t="s">
        <v>484</v>
      </c>
      <c r="J77" s="17"/>
      <c r="K77" s="17"/>
      <c r="L77" s="17"/>
      <c r="M77" s="14" t="s">
        <v>446</v>
      </c>
      <c r="N77" s="18"/>
      <c r="O77" s="18"/>
      <c r="P77" s="18"/>
      <c r="Q77" s="18"/>
      <c r="R77" s="18"/>
      <c r="S77" s="18"/>
      <c r="T77" s="18"/>
      <c r="U77" s="18"/>
      <c r="V77" s="18"/>
      <c r="W77" s="18"/>
      <c r="X77" s="18"/>
      <c r="Y77" s="18"/>
      <c r="Z77" s="18"/>
      <c r="AA77" s="18"/>
      <c r="AB77" s="18"/>
      <c r="AC77" s="18"/>
    </row>
    <row r="78" ht="15.75" customHeight="1">
      <c r="A78" s="5" t="s">
        <v>485</v>
      </c>
      <c r="B78" s="5" t="s">
        <v>124</v>
      </c>
      <c r="C78" s="4" t="s">
        <v>486</v>
      </c>
      <c r="D78" s="4">
        <v>42.3341625662209</v>
      </c>
      <c r="E78" s="4">
        <v>-83.0504957288358</v>
      </c>
      <c r="F78" s="4" t="s">
        <v>16</v>
      </c>
      <c r="G78" s="5" t="s">
        <v>33</v>
      </c>
      <c r="H78" s="5" t="s">
        <v>487</v>
      </c>
      <c r="I78" s="6" t="s">
        <v>488</v>
      </c>
      <c r="J78" s="9" t="s">
        <v>489</v>
      </c>
      <c r="K78" s="8" t="s">
        <v>490</v>
      </c>
      <c r="L78" s="7"/>
      <c r="M78" s="5" t="s">
        <v>491</v>
      </c>
    </row>
    <row r="79" ht="15.75" customHeight="1">
      <c r="A79" s="14" t="s">
        <v>492</v>
      </c>
      <c r="B79" s="14" t="s">
        <v>14</v>
      </c>
      <c r="C79" s="18" t="s">
        <v>493</v>
      </c>
      <c r="D79" s="18">
        <v>42.2799295365913</v>
      </c>
      <c r="E79" s="18">
        <v>-83.7436831032988</v>
      </c>
      <c r="F79" s="18" t="s">
        <v>16</v>
      </c>
      <c r="G79" s="14" t="s">
        <v>33</v>
      </c>
      <c r="H79" s="14" t="s">
        <v>299</v>
      </c>
      <c r="I79" s="15" t="s">
        <v>494</v>
      </c>
      <c r="J79" s="17"/>
      <c r="K79" s="17"/>
      <c r="L79" s="17"/>
      <c r="M79" s="14" t="s">
        <v>495</v>
      </c>
      <c r="N79" s="18"/>
      <c r="O79" s="18"/>
      <c r="P79" s="18"/>
      <c r="Q79" s="18"/>
      <c r="R79" s="18"/>
      <c r="S79" s="18"/>
      <c r="T79" s="18"/>
      <c r="U79" s="18"/>
      <c r="V79" s="18"/>
      <c r="W79" s="18"/>
      <c r="X79" s="18"/>
      <c r="Y79" s="18"/>
      <c r="Z79" s="18"/>
      <c r="AA79" s="18"/>
      <c r="AB79" s="18"/>
      <c r="AC79" s="18"/>
    </row>
    <row r="80" ht="15.75" customHeight="1">
      <c r="A80" s="5" t="s">
        <v>496</v>
      </c>
      <c r="B80" s="5" t="s">
        <v>400</v>
      </c>
      <c r="C80" s="4" t="s">
        <v>497</v>
      </c>
      <c r="D80" s="4">
        <v>42.964348259868</v>
      </c>
      <c r="E80" s="4">
        <v>-85.6716014999999</v>
      </c>
      <c r="F80" s="4" t="s">
        <v>16</v>
      </c>
      <c r="G80" s="5" t="s">
        <v>33</v>
      </c>
      <c r="H80" s="5" t="s">
        <v>299</v>
      </c>
      <c r="I80" s="6" t="s">
        <v>498</v>
      </c>
      <c r="J80" s="9" t="s">
        <v>499</v>
      </c>
      <c r="K80" s="8" t="s">
        <v>500</v>
      </c>
      <c r="L80" s="7"/>
      <c r="M80" s="5" t="s">
        <v>501</v>
      </c>
    </row>
    <row r="81" ht="15.75" customHeight="1">
      <c r="A81" s="4" t="s">
        <v>502</v>
      </c>
      <c r="B81" s="4" t="s">
        <v>14</v>
      </c>
      <c r="C81" s="4" t="s">
        <v>503</v>
      </c>
      <c r="D81" s="4">
        <v>42.2813182995817</v>
      </c>
      <c r="E81" s="4">
        <v>-83.7467960032987</v>
      </c>
      <c r="F81" s="4" t="s">
        <v>16</v>
      </c>
      <c r="G81" s="4" t="s">
        <v>17</v>
      </c>
      <c r="H81" s="4" t="s">
        <v>504</v>
      </c>
      <c r="I81" s="6" t="s">
        <v>505</v>
      </c>
      <c r="J81" s="11" t="s">
        <v>506</v>
      </c>
      <c r="K81" s="7"/>
      <c r="L81" s="8" t="s">
        <v>507</v>
      </c>
      <c r="M81" s="4" t="s">
        <v>508</v>
      </c>
    </row>
    <row r="82" ht="15.75" customHeight="1">
      <c r="A82" s="14" t="s">
        <v>509</v>
      </c>
      <c r="B82" s="14" t="s">
        <v>400</v>
      </c>
      <c r="C82" s="14" t="s">
        <v>510</v>
      </c>
      <c r="D82" s="18">
        <v>42.966343840406</v>
      </c>
      <c r="E82" s="18">
        <v>-85.6698835073698</v>
      </c>
      <c r="F82" s="18" t="s">
        <v>16</v>
      </c>
      <c r="G82" s="14" t="s">
        <v>328</v>
      </c>
      <c r="H82" s="14" t="s">
        <v>511</v>
      </c>
      <c r="I82" s="15" t="s">
        <v>512</v>
      </c>
      <c r="J82" s="7"/>
      <c r="K82" s="7"/>
      <c r="L82" s="8"/>
      <c r="M82" s="14" t="s">
        <v>513</v>
      </c>
      <c r="N82" s="18"/>
      <c r="O82" s="18"/>
      <c r="P82" s="18"/>
      <c r="Q82" s="18"/>
      <c r="R82" s="18"/>
      <c r="S82" s="18"/>
      <c r="T82" s="18"/>
      <c r="U82" s="18"/>
      <c r="V82" s="18"/>
      <c r="W82" s="18"/>
      <c r="X82" s="18"/>
      <c r="Y82" s="18"/>
      <c r="Z82" s="18"/>
      <c r="AA82" s="18"/>
      <c r="AB82" s="18"/>
      <c r="AC82" s="18"/>
    </row>
    <row r="83" ht="15.75" customHeight="1">
      <c r="A83" s="30" t="s">
        <v>514</v>
      </c>
      <c r="B83" s="30" t="s">
        <v>515</v>
      </c>
      <c r="C83" s="30" t="s">
        <v>516</v>
      </c>
      <c r="D83" s="30">
        <v>42.6795873206519</v>
      </c>
      <c r="E83" s="30">
        <v>-84.4423477744423</v>
      </c>
      <c r="F83" s="30" t="s">
        <v>16</v>
      </c>
      <c r="G83" s="31" t="s">
        <v>55</v>
      </c>
      <c r="H83" s="30" t="s">
        <v>517</v>
      </c>
      <c r="I83" s="32" t="s">
        <v>518</v>
      </c>
      <c r="J83" s="7"/>
      <c r="K83" s="8" t="s">
        <v>519</v>
      </c>
      <c r="L83" s="7"/>
      <c r="M83" s="30" t="s">
        <v>520</v>
      </c>
      <c r="N83" s="30"/>
      <c r="O83" s="30"/>
      <c r="P83" s="30"/>
      <c r="Q83" s="30"/>
      <c r="R83" s="30"/>
      <c r="S83" s="30"/>
      <c r="T83" s="30"/>
      <c r="U83" s="30"/>
      <c r="V83" s="30"/>
      <c r="W83" s="30"/>
      <c r="X83" s="30"/>
      <c r="Y83" s="30"/>
      <c r="Z83" s="30"/>
      <c r="AA83" s="30"/>
      <c r="AB83" s="30"/>
      <c r="AC83" s="30"/>
    </row>
    <row r="84" ht="15.75" customHeight="1">
      <c r="A84" s="5" t="s">
        <v>521</v>
      </c>
      <c r="B84" s="5" t="s">
        <v>522</v>
      </c>
      <c r="C84" s="5" t="s">
        <v>523</v>
      </c>
      <c r="D84" s="5">
        <v>43.6845</v>
      </c>
      <c r="E84" s="5">
        <v>-79.7604</v>
      </c>
      <c r="F84" s="5" t="s">
        <v>524</v>
      </c>
      <c r="G84" s="5" t="s">
        <v>525</v>
      </c>
      <c r="H84" s="5" t="s">
        <v>526</v>
      </c>
      <c r="I84" s="6" t="s">
        <v>527</v>
      </c>
      <c r="J84" s="11" t="s">
        <v>528</v>
      </c>
      <c r="K84" s="11" t="s">
        <v>529</v>
      </c>
      <c r="L84" s="7"/>
      <c r="M84" s="5" t="s">
        <v>530</v>
      </c>
    </row>
    <row r="85" ht="15.75" customHeight="1">
      <c r="A85" s="5" t="s">
        <v>531</v>
      </c>
      <c r="B85" s="5" t="s">
        <v>522</v>
      </c>
      <c r="C85" s="5" t="s">
        <v>532</v>
      </c>
      <c r="D85" s="5">
        <v>43.68333</v>
      </c>
      <c r="E85" s="5">
        <v>-79.76667</v>
      </c>
      <c r="F85" s="5" t="s">
        <v>524</v>
      </c>
      <c r="G85" s="4" t="s">
        <v>17</v>
      </c>
      <c r="H85" s="5" t="s">
        <v>533</v>
      </c>
      <c r="I85" s="6" t="s">
        <v>534</v>
      </c>
      <c r="J85" s="11" t="s">
        <v>535</v>
      </c>
      <c r="K85" s="11" t="s">
        <v>536</v>
      </c>
      <c r="L85" s="7"/>
      <c r="M85" s="5" t="s">
        <v>537</v>
      </c>
    </row>
    <row r="86" ht="15.75" customHeight="1">
      <c r="A86" s="4" t="s">
        <v>538</v>
      </c>
      <c r="B86" s="4" t="s">
        <v>522</v>
      </c>
      <c r="C86" s="5" t="s">
        <v>539</v>
      </c>
      <c r="D86" s="5">
        <v>43.6574</v>
      </c>
      <c r="E86" s="5">
        <v>-79.3802</v>
      </c>
      <c r="F86" s="4" t="s">
        <v>524</v>
      </c>
      <c r="G86" s="5" t="s">
        <v>89</v>
      </c>
      <c r="H86" s="4" t="s">
        <v>540</v>
      </c>
      <c r="I86" s="6" t="s">
        <v>541</v>
      </c>
      <c r="J86" s="11" t="s">
        <v>542</v>
      </c>
      <c r="K86" s="11" t="s">
        <v>543</v>
      </c>
      <c r="L86" s="33" t="s">
        <v>544</v>
      </c>
      <c r="M86" s="4" t="s">
        <v>545</v>
      </c>
    </row>
    <row r="87" ht="15.75" customHeight="1">
      <c r="A87" s="5" t="s">
        <v>546</v>
      </c>
      <c r="B87" s="5" t="s">
        <v>547</v>
      </c>
      <c r="C87" s="5" t="s">
        <v>548</v>
      </c>
      <c r="D87" s="5">
        <v>43.13943</v>
      </c>
      <c r="E87" s="5">
        <v>-80.26564</v>
      </c>
      <c r="F87" s="5" t="s">
        <v>524</v>
      </c>
      <c r="G87" s="5" t="s">
        <v>55</v>
      </c>
      <c r="H87" s="5" t="s">
        <v>549</v>
      </c>
      <c r="I87" s="6" t="s">
        <v>550</v>
      </c>
      <c r="J87" s="11" t="s">
        <v>551</v>
      </c>
      <c r="K87" s="11" t="s">
        <v>552</v>
      </c>
      <c r="L87" s="7"/>
      <c r="M87" s="5" t="s">
        <v>553</v>
      </c>
    </row>
    <row r="88" ht="15.75" customHeight="1">
      <c r="A88" s="5" t="s">
        <v>554</v>
      </c>
      <c r="B88" s="5" t="s">
        <v>547</v>
      </c>
      <c r="C88" s="5" t="s">
        <v>555</v>
      </c>
      <c r="D88" s="5">
        <v>43.13943</v>
      </c>
      <c r="E88" s="5">
        <v>-80.26564</v>
      </c>
      <c r="F88" s="5" t="s">
        <v>524</v>
      </c>
      <c r="G88" s="5" t="s">
        <v>89</v>
      </c>
      <c r="H88" s="5" t="s">
        <v>556</v>
      </c>
      <c r="I88" s="6" t="s">
        <v>557</v>
      </c>
      <c r="J88" s="11" t="s">
        <v>558</v>
      </c>
      <c r="K88" s="11" t="s">
        <v>543</v>
      </c>
      <c r="L88" s="7"/>
      <c r="M88" s="5" t="s">
        <v>559</v>
      </c>
    </row>
    <row r="89" ht="15.75" customHeight="1">
      <c r="A89" s="5" t="s">
        <v>560</v>
      </c>
      <c r="B89" s="5" t="s">
        <v>561</v>
      </c>
      <c r="C89" s="5" t="s">
        <v>562</v>
      </c>
      <c r="D89" s="5">
        <v>43.39599</v>
      </c>
      <c r="E89" s="5">
        <v>-79.76131</v>
      </c>
      <c r="F89" s="5" t="s">
        <v>524</v>
      </c>
      <c r="G89" s="5" t="s">
        <v>328</v>
      </c>
      <c r="H89" s="5" t="s">
        <v>563</v>
      </c>
      <c r="I89" s="6" t="s">
        <v>564</v>
      </c>
      <c r="J89" s="11" t="s">
        <v>565</v>
      </c>
      <c r="K89" s="11" t="s">
        <v>566</v>
      </c>
      <c r="L89" s="7"/>
      <c r="M89" s="5" t="s">
        <v>567</v>
      </c>
    </row>
    <row r="90" ht="15.75" customHeight="1">
      <c r="A90" s="5" t="s">
        <v>568</v>
      </c>
      <c r="B90" s="5" t="s">
        <v>569</v>
      </c>
      <c r="C90" s="5" t="s">
        <v>570</v>
      </c>
      <c r="D90" s="5">
        <v>43.4101</v>
      </c>
      <c r="E90" s="5">
        <v>-80.3329</v>
      </c>
      <c r="F90" s="5" t="s">
        <v>524</v>
      </c>
      <c r="G90" s="5" t="s">
        <v>55</v>
      </c>
      <c r="H90" s="5" t="s">
        <v>571</v>
      </c>
      <c r="I90" s="6" t="s">
        <v>572</v>
      </c>
      <c r="J90" s="11" t="s">
        <v>573</v>
      </c>
      <c r="K90" s="11" t="s">
        <v>574</v>
      </c>
      <c r="L90" s="7"/>
      <c r="M90" s="5" t="s">
        <v>575</v>
      </c>
    </row>
    <row r="91" ht="15.75" customHeight="1">
      <c r="A91" s="5" t="s">
        <v>576</v>
      </c>
      <c r="B91" s="5" t="s">
        <v>577</v>
      </c>
      <c r="C91" s="5" t="s">
        <v>578</v>
      </c>
      <c r="D91" s="5">
        <v>42.4084</v>
      </c>
      <c r="E91" s="5">
        <v>-82.1853</v>
      </c>
      <c r="F91" s="5" t="s">
        <v>524</v>
      </c>
      <c r="G91" s="5" t="s">
        <v>70</v>
      </c>
      <c r="H91" s="5" t="s">
        <v>579</v>
      </c>
      <c r="I91" s="6" t="s">
        <v>580</v>
      </c>
      <c r="J91" s="11" t="s">
        <v>581</v>
      </c>
      <c r="K91" s="11" t="s">
        <v>582</v>
      </c>
      <c r="L91" s="7"/>
      <c r="M91" s="5" t="s">
        <v>583</v>
      </c>
    </row>
    <row r="92" ht="15.75" customHeight="1">
      <c r="A92" s="5" t="s">
        <v>584</v>
      </c>
      <c r="B92" s="5" t="s">
        <v>577</v>
      </c>
      <c r="C92" s="5" t="s">
        <v>578</v>
      </c>
      <c r="D92" s="5">
        <v>42.4084</v>
      </c>
      <c r="E92" s="5">
        <v>-82.1853</v>
      </c>
      <c r="F92" s="5" t="s">
        <v>524</v>
      </c>
      <c r="G92" s="4" t="s">
        <v>17</v>
      </c>
      <c r="H92" s="5" t="s">
        <v>585</v>
      </c>
      <c r="I92" s="6" t="s">
        <v>586</v>
      </c>
      <c r="J92" s="11" t="s">
        <v>587</v>
      </c>
      <c r="K92" s="11" t="s">
        <v>588</v>
      </c>
      <c r="L92" s="7"/>
      <c r="M92" s="5" t="s">
        <v>589</v>
      </c>
    </row>
    <row r="93" ht="15.75" customHeight="1">
      <c r="A93" s="5" t="s">
        <v>590</v>
      </c>
      <c r="B93" s="5" t="s">
        <v>577</v>
      </c>
      <c r="C93" s="5" t="s">
        <v>591</v>
      </c>
      <c r="D93" s="5">
        <v>42.40527</v>
      </c>
      <c r="E93" s="5">
        <v>-82.1878</v>
      </c>
      <c r="F93" s="5" t="s">
        <v>524</v>
      </c>
      <c r="G93" s="5" t="s">
        <v>89</v>
      </c>
      <c r="H93" s="5" t="s">
        <v>592</v>
      </c>
      <c r="I93" s="6" t="s">
        <v>593</v>
      </c>
      <c r="J93" s="11" t="s">
        <v>594</v>
      </c>
      <c r="K93" s="11" t="s">
        <v>595</v>
      </c>
      <c r="L93" s="7"/>
      <c r="M93" s="5" t="s">
        <v>596</v>
      </c>
    </row>
    <row r="94" ht="15.75" customHeight="1">
      <c r="A94" s="5" t="s">
        <v>597</v>
      </c>
      <c r="B94" s="5" t="s">
        <v>598</v>
      </c>
      <c r="C94" s="5" t="s">
        <v>599</v>
      </c>
      <c r="D94" s="5">
        <v>42.1736</v>
      </c>
      <c r="E94" s="5">
        <v>-82.8236</v>
      </c>
      <c r="F94" s="5" t="s">
        <v>524</v>
      </c>
      <c r="G94" s="5" t="s">
        <v>600</v>
      </c>
      <c r="H94" s="5" t="s">
        <v>601</v>
      </c>
      <c r="I94" s="6" t="s">
        <v>602</v>
      </c>
      <c r="J94" s="11" t="s">
        <v>603</v>
      </c>
      <c r="K94" s="11" t="s">
        <v>604</v>
      </c>
      <c r="L94" s="7"/>
      <c r="M94" s="5" t="s">
        <v>605</v>
      </c>
    </row>
    <row r="95" ht="18.0" customHeight="1">
      <c r="A95" s="4" t="s">
        <v>606</v>
      </c>
      <c r="B95" s="5" t="s">
        <v>607</v>
      </c>
      <c r="C95" s="4" t="s">
        <v>608</v>
      </c>
      <c r="D95" s="4">
        <v>43.524</v>
      </c>
      <c r="E95" s="4">
        <v>-80.226</v>
      </c>
      <c r="F95" s="4" t="s">
        <v>524</v>
      </c>
      <c r="G95" s="5" t="s">
        <v>89</v>
      </c>
      <c r="H95" s="4" t="s">
        <v>609</v>
      </c>
      <c r="I95" s="6" t="s">
        <v>610</v>
      </c>
      <c r="J95" s="11" t="s">
        <v>611</v>
      </c>
      <c r="K95" s="11" t="s">
        <v>612</v>
      </c>
      <c r="L95" s="7"/>
      <c r="M95" s="4" t="s">
        <v>613</v>
      </c>
    </row>
    <row r="96" ht="15.75" customHeight="1">
      <c r="A96" s="5" t="s">
        <v>614</v>
      </c>
      <c r="B96" s="5" t="s">
        <v>607</v>
      </c>
      <c r="C96" s="5" t="s">
        <v>615</v>
      </c>
      <c r="D96" s="5">
        <v>43.5329</v>
      </c>
      <c r="E96" s="5">
        <v>-80.2262</v>
      </c>
      <c r="F96" s="4" t="s">
        <v>524</v>
      </c>
      <c r="G96" s="4" t="s">
        <v>24</v>
      </c>
      <c r="H96" s="5" t="s">
        <v>616</v>
      </c>
      <c r="I96" s="6" t="s">
        <v>617</v>
      </c>
      <c r="J96" s="11" t="s">
        <v>618</v>
      </c>
      <c r="K96" s="11" t="s">
        <v>619</v>
      </c>
      <c r="L96" s="7"/>
      <c r="M96" s="4" t="s">
        <v>620</v>
      </c>
    </row>
    <row r="97" ht="15.75" customHeight="1">
      <c r="A97" s="34" t="s">
        <v>621</v>
      </c>
      <c r="B97" s="4" t="s">
        <v>607</v>
      </c>
      <c r="C97" s="5" t="s">
        <v>622</v>
      </c>
      <c r="D97" s="5">
        <v>43.5329</v>
      </c>
      <c r="E97" s="5">
        <v>-80.2262</v>
      </c>
      <c r="F97" s="4" t="s">
        <v>524</v>
      </c>
      <c r="G97" s="4" t="s">
        <v>24</v>
      </c>
      <c r="H97" s="4" t="s">
        <v>623</v>
      </c>
      <c r="I97" s="6" t="s">
        <v>624</v>
      </c>
      <c r="J97" s="11" t="s">
        <v>625</v>
      </c>
      <c r="K97" s="11" t="s">
        <v>626</v>
      </c>
      <c r="L97" s="11" t="s">
        <v>627</v>
      </c>
      <c r="M97" s="4" t="s">
        <v>628</v>
      </c>
    </row>
    <row r="98" ht="15.75" customHeight="1">
      <c r="A98" s="4" t="s">
        <v>629</v>
      </c>
      <c r="B98" s="5" t="s">
        <v>630</v>
      </c>
      <c r="C98" s="5" t="s">
        <v>631</v>
      </c>
      <c r="D98" s="5">
        <v>43.25689</v>
      </c>
      <c r="E98" s="5">
        <v>-79.90091</v>
      </c>
      <c r="F98" s="4" t="s">
        <v>524</v>
      </c>
      <c r="G98" s="5" t="s">
        <v>89</v>
      </c>
      <c r="H98" s="4" t="s">
        <v>632</v>
      </c>
      <c r="I98" s="6" t="s">
        <v>633</v>
      </c>
      <c r="J98" s="11" t="s">
        <v>634</v>
      </c>
      <c r="K98" s="11" t="s">
        <v>635</v>
      </c>
      <c r="L98" s="7"/>
      <c r="M98" s="4" t="s">
        <v>636</v>
      </c>
    </row>
    <row r="99" ht="15.75" customHeight="1">
      <c r="A99" s="5" t="s">
        <v>637</v>
      </c>
      <c r="B99" s="5" t="s">
        <v>630</v>
      </c>
      <c r="C99" s="5" t="s">
        <v>638</v>
      </c>
      <c r="D99" s="5">
        <v>43.25689</v>
      </c>
      <c r="E99" s="5">
        <v>-79.90091</v>
      </c>
      <c r="F99" s="4" t="s">
        <v>524</v>
      </c>
      <c r="G99" s="5" t="s">
        <v>89</v>
      </c>
      <c r="H99" s="5" t="s">
        <v>639</v>
      </c>
      <c r="I99" s="6" t="s">
        <v>640</v>
      </c>
      <c r="J99" s="11" t="s">
        <v>641</v>
      </c>
      <c r="K99" s="11" t="s">
        <v>642</v>
      </c>
      <c r="L99" s="7"/>
      <c r="M99" s="4" t="s">
        <v>643</v>
      </c>
    </row>
    <row r="100" ht="15.75" customHeight="1">
      <c r="A100" s="5" t="s">
        <v>644</v>
      </c>
      <c r="B100" s="5" t="s">
        <v>630</v>
      </c>
      <c r="C100" s="5" t="s">
        <v>645</v>
      </c>
      <c r="D100" s="5">
        <v>43.2488</v>
      </c>
      <c r="E100" s="5">
        <v>-79.8708</v>
      </c>
      <c r="F100" s="4" t="s">
        <v>524</v>
      </c>
      <c r="G100" s="5" t="s">
        <v>89</v>
      </c>
      <c r="H100" s="5" t="s">
        <v>646</v>
      </c>
      <c r="I100" s="6" t="s">
        <v>647</v>
      </c>
      <c r="J100" s="11" t="s">
        <v>648</v>
      </c>
      <c r="K100" s="11" t="s">
        <v>649</v>
      </c>
      <c r="L100" s="11" t="s">
        <v>650</v>
      </c>
      <c r="M100" s="5" t="s">
        <v>651</v>
      </c>
    </row>
    <row r="101" ht="15.75" customHeight="1">
      <c r="A101" s="4" t="s">
        <v>652</v>
      </c>
      <c r="B101" s="5" t="s">
        <v>630</v>
      </c>
      <c r="C101" s="5" t="s">
        <v>653</v>
      </c>
      <c r="D101" s="5">
        <v>43.2559</v>
      </c>
      <c r="E101" s="5">
        <v>-79.8729</v>
      </c>
      <c r="F101" s="4" t="s">
        <v>524</v>
      </c>
      <c r="G101" s="5" t="s">
        <v>525</v>
      </c>
      <c r="H101" s="4" t="s">
        <v>654</v>
      </c>
      <c r="I101" s="6" t="s">
        <v>655</v>
      </c>
      <c r="J101" s="11" t="s">
        <v>656</v>
      </c>
      <c r="K101" s="11" t="s">
        <v>657</v>
      </c>
      <c r="L101" s="7"/>
      <c r="M101" s="4" t="s">
        <v>658</v>
      </c>
    </row>
    <row r="102" ht="15.75" customHeight="1">
      <c r="A102" s="4" t="s">
        <v>659</v>
      </c>
      <c r="B102" s="4" t="s">
        <v>660</v>
      </c>
      <c r="C102" s="5" t="s">
        <v>661</v>
      </c>
      <c r="D102" s="5">
        <v>44.2435</v>
      </c>
      <c r="E102" s="5">
        <v>-76.5113</v>
      </c>
      <c r="F102" s="4" t="s">
        <v>524</v>
      </c>
      <c r="G102" s="5" t="s">
        <v>328</v>
      </c>
      <c r="H102" s="4" t="s">
        <v>662</v>
      </c>
      <c r="I102" s="6" t="s">
        <v>663</v>
      </c>
      <c r="J102" s="11" t="s">
        <v>664</v>
      </c>
      <c r="K102" s="11" t="s">
        <v>665</v>
      </c>
      <c r="L102" s="11" t="s">
        <v>666</v>
      </c>
      <c r="M102" s="4" t="s">
        <v>667</v>
      </c>
    </row>
    <row r="103" ht="15.75" customHeight="1">
      <c r="A103" s="35" t="s">
        <v>668</v>
      </c>
      <c r="B103" s="35" t="s">
        <v>660</v>
      </c>
      <c r="C103" s="36" t="s">
        <v>661</v>
      </c>
      <c r="D103" s="36">
        <v>44.2435</v>
      </c>
      <c r="E103" s="36">
        <v>-76.5113</v>
      </c>
      <c r="F103" s="35" t="s">
        <v>524</v>
      </c>
      <c r="G103" s="4" t="s">
        <v>24</v>
      </c>
      <c r="H103" s="35" t="s">
        <v>669</v>
      </c>
      <c r="I103" s="37" t="s">
        <v>670</v>
      </c>
      <c r="J103" s="38"/>
      <c r="K103" s="38"/>
      <c r="L103" s="39" t="s">
        <v>671</v>
      </c>
      <c r="M103" s="35" t="s">
        <v>672</v>
      </c>
      <c r="N103" s="35"/>
      <c r="O103" s="35"/>
      <c r="P103" s="35"/>
      <c r="Q103" s="35"/>
      <c r="R103" s="35"/>
      <c r="S103" s="35"/>
      <c r="T103" s="35"/>
      <c r="U103" s="35"/>
      <c r="V103" s="35"/>
      <c r="W103" s="35"/>
      <c r="X103" s="35"/>
      <c r="Y103" s="35"/>
      <c r="Z103" s="35"/>
      <c r="AA103" s="35"/>
      <c r="AB103" s="35"/>
      <c r="AC103" s="35"/>
    </row>
    <row r="104" ht="15.75" customHeight="1">
      <c r="A104" s="5" t="s">
        <v>673</v>
      </c>
      <c r="B104" s="5" t="s">
        <v>674</v>
      </c>
      <c r="C104" s="5" t="s">
        <v>675</v>
      </c>
      <c r="D104" s="5">
        <v>43.4512</v>
      </c>
      <c r="E104" s="5">
        <v>-80.4983</v>
      </c>
      <c r="F104" s="5" t="s">
        <v>524</v>
      </c>
      <c r="G104" s="5" t="s">
        <v>55</v>
      </c>
      <c r="H104" s="5" t="s">
        <v>676</v>
      </c>
      <c r="I104" s="6" t="s">
        <v>677</v>
      </c>
      <c r="J104" s="11" t="s">
        <v>678</v>
      </c>
      <c r="K104" s="11" t="s">
        <v>679</v>
      </c>
      <c r="L104" s="7"/>
      <c r="M104" s="5" t="s">
        <v>680</v>
      </c>
    </row>
    <row r="105" ht="15.75" customHeight="1">
      <c r="A105" s="5" t="s">
        <v>681</v>
      </c>
      <c r="B105" s="5" t="s">
        <v>674</v>
      </c>
      <c r="C105" s="5" t="s">
        <v>682</v>
      </c>
      <c r="D105" s="5">
        <v>43.45128</v>
      </c>
      <c r="E105" s="5">
        <v>-80.51338</v>
      </c>
      <c r="F105" s="5" t="s">
        <v>524</v>
      </c>
      <c r="G105" s="5" t="s">
        <v>33</v>
      </c>
      <c r="H105" s="5" t="s">
        <v>683</v>
      </c>
      <c r="I105" s="6" t="s">
        <v>684</v>
      </c>
      <c r="J105" s="11" t="s">
        <v>685</v>
      </c>
      <c r="K105" s="11" t="s">
        <v>543</v>
      </c>
      <c r="L105" s="7"/>
      <c r="M105" s="5" t="s">
        <v>686</v>
      </c>
    </row>
    <row r="106" ht="15.75" customHeight="1">
      <c r="A106" s="5" t="s">
        <v>687</v>
      </c>
      <c r="B106" s="5" t="s">
        <v>674</v>
      </c>
      <c r="C106" s="5" t="s">
        <v>688</v>
      </c>
      <c r="D106" s="5">
        <v>43.45177</v>
      </c>
      <c r="E106" s="5">
        <v>-80.50126</v>
      </c>
      <c r="F106" s="4" t="s">
        <v>524</v>
      </c>
      <c r="G106" s="5" t="s">
        <v>89</v>
      </c>
      <c r="H106" s="5" t="s">
        <v>689</v>
      </c>
      <c r="I106" s="6" t="s">
        <v>690</v>
      </c>
      <c r="J106" s="11" t="s">
        <v>543</v>
      </c>
      <c r="K106" s="11" t="s">
        <v>691</v>
      </c>
      <c r="L106" s="11" t="s">
        <v>692</v>
      </c>
      <c r="M106" s="5" t="s">
        <v>693</v>
      </c>
    </row>
    <row r="107" ht="15.75" customHeight="1">
      <c r="A107" s="5" t="s">
        <v>694</v>
      </c>
      <c r="B107" s="4" t="s">
        <v>569</v>
      </c>
      <c r="C107" s="5" t="s">
        <v>695</v>
      </c>
      <c r="D107" s="5">
        <v>43.3536493901498</v>
      </c>
      <c r="E107" s="5">
        <v>-80.3178068320788</v>
      </c>
      <c r="F107" s="4" t="s">
        <v>524</v>
      </c>
      <c r="G107" s="4" t="s">
        <v>24</v>
      </c>
      <c r="H107" s="4" t="s">
        <v>696</v>
      </c>
      <c r="I107" s="6" t="s">
        <v>697</v>
      </c>
      <c r="J107" s="11" t="s">
        <v>698</v>
      </c>
      <c r="K107" s="11" t="s">
        <v>699</v>
      </c>
      <c r="L107" s="7"/>
      <c r="M107" s="4" t="s">
        <v>700</v>
      </c>
    </row>
    <row r="108" ht="15.75" customHeight="1">
      <c r="A108" s="4" t="s">
        <v>701</v>
      </c>
      <c r="B108" s="4" t="s">
        <v>674</v>
      </c>
      <c r="C108" s="4" t="s">
        <v>702</v>
      </c>
      <c r="D108" s="4">
        <v>43.4628</v>
      </c>
      <c r="E108" s="4">
        <v>-80.4756</v>
      </c>
      <c r="F108" s="4" t="s">
        <v>524</v>
      </c>
      <c r="G108" s="5" t="s">
        <v>328</v>
      </c>
      <c r="H108" s="4" t="s">
        <v>703</v>
      </c>
      <c r="I108" s="6" t="s">
        <v>704</v>
      </c>
      <c r="J108" s="11" t="s">
        <v>705</v>
      </c>
      <c r="K108" s="11" t="s">
        <v>543</v>
      </c>
      <c r="L108" s="7"/>
      <c r="M108" s="4" t="s">
        <v>706</v>
      </c>
    </row>
    <row r="109" ht="15.75" customHeight="1">
      <c r="A109" s="34" t="s">
        <v>707</v>
      </c>
      <c r="B109" s="4" t="s">
        <v>708</v>
      </c>
      <c r="C109" s="5" t="s">
        <v>709</v>
      </c>
      <c r="D109" s="5">
        <v>42.0314</v>
      </c>
      <c r="E109" s="5">
        <v>-82.5869</v>
      </c>
      <c r="F109" s="4" t="s">
        <v>524</v>
      </c>
      <c r="G109" s="4" t="s">
        <v>24</v>
      </c>
      <c r="H109" s="4" t="s">
        <v>623</v>
      </c>
      <c r="I109" s="40" t="s">
        <v>710</v>
      </c>
      <c r="J109" s="11" t="s">
        <v>543</v>
      </c>
      <c r="K109" s="11" t="s">
        <v>711</v>
      </c>
      <c r="L109" s="7"/>
      <c r="M109" s="4" t="s">
        <v>712</v>
      </c>
    </row>
    <row r="110" ht="15.75" customHeight="1">
      <c r="A110" s="5" t="s">
        <v>713</v>
      </c>
      <c r="B110" s="5" t="s">
        <v>714</v>
      </c>
      <c r="C110" s="5" t="s">
        <v>715</v>
      </c>
      <c r="D110" s="5">
        <v>43.0149</v>
      </c>
      <c r="E110" s="5">
        <v>-81.1996</v>
      </c>
      <c r="F110" s="5" t="s">
        <v>524</v>
      </c>
      <c r="G110" s="5" t="s">
        <v>89</v>
      </c>
      <c r="H110" s="5" t="s">
        <v>716</v>
      </c>
      <c r="I110" s="6" t="s">
        <v>717</v>
      </c>
      <c r="J110" s="11" t="s">
        <v>718</v>
      </c>
      <c r="K110" s="11" t="s">
        <v>719</v>
      </c>
      <c r="L110" s="7"/>
      <c r="M110" s="5" t="s">
        <v>720</v>
      </c>
    </row>
    <row r="111" ht="15.75" customHeight="1">
      <c r="A111" s="5" t="s">
        <v>721</v>
      </c>
      <c r="B111" s="5" t="s">
        <v>714</v>
      </c>
      <c r="C111" s="5" t="s">
        <v>722</v>
      </c>
      <c r="D111" s="5">
        <v>43.0096</v>
      </c>
      <c r="E111" s="5">
        <v>-81.2737</v>
      </c>
      <c r="F111" s="5" t="s">
        <v>524</v>
      </c>
      <c r="G111" s="5" t="s">
        <v>89</v>
      </c>
      <c r="H111" s="5" t="s">
        <v>723</v>
      </c>
      <c r="I111" s="6" t="s">
        <v>724</v>
      </c>
      <c r="J111" s="11" t="s">
        <v>725</v>
      </c>
      <c r="K111" s="11" t="s">
        <v>543</v>
      </c>
      <c r="L111" s="11" t="s">
        <v>726</v>
      </c>
      <c r="M111" s="5" t="s">
        <v>727</v>
      </c>
    </row>
    <row r="112" ht="15.75" customHeight="1">
      <c r="A112" s="4" t="s">
        <v>728</v>
      </c>
      <c r="B112" s="4" t="s">
        <v>714</v>
      </c>
      <c r="C112" s="5" t="s">
        <v>729</v>
      </c>
      <c r="D112" s="5">
        <v>42.9827</v>
      </c>
      <c r="E112" s="5">
        <v>-81.2475</v>
      </c>
      <c r="F112" s="4" t="s">
        <v>524</v>
      </c>
      <c r="G112" s="4" t="s">
        <v>17</v>
      </c>
      <c r="H112" s="4" t="s">
        <v>730</v>
      </c>
      <c r="I112" s="6" t="s">
        <v>731</v>
      </c>
      <c r="J112" s="11" t="s">
        <v>732</v>
      </c>
      <c r="K112" s="11" t="s">
        <v>733</v>
      </c>
      <c r="L112" s="7"/>
      <c r="M112" s="4" t="s">
        <v>734</v>
      </c>
    </row>
    <row r="113" ht="15.75" customHeight="1">
      <c r="A113" s="5" t="s">
        <v>735</v>
      </c>
      <c r="B113" s="5" t="s">
        <v>714</v>
      </c>
      <c r="C113" s="5" t="s">
        <v>736</v>
      </c>
      <c r="D113" s="5">
        <v>42.9849</v>
      </c>
      <c r="E113" s="5">
        <v>-81.2453</v>
      </c>
      <c r="F113" s="5" t="s">
        <v>524</v>
      </c>
      <c r="G113" s="5" t="s">
        <v>55</v>
      </c>
      <c r="H113" s="5" t="s">
        <v>737</v>
      </c>
      <c r="I113" s="6" t="s">
        <v>738</v>
      </c>
      <c r="J113" s="11" t="s">
        <v>739</v>
      </c>
      <c r="K113" s="11" t="s">
        <v>740</v>
      </c>
      <c r="L113" s="7"/>
      <c r="M113" s="5" t="s">
        <v>741</v>
      </c>
    </row>
    <row r="114" ht="15.75" customHeight="1">
      <c r="A114" s="4" t="s">
        <v>742</v>
      </c>
      <c r="B114" s="5" t="s">
        <v>714</v>
      </c>
      <c r="C114" s="5" t="s">
        <v>743</v>
      </c>
      <c r="D114" s="5">
        <v>42.9849</v>
      </c>
      <c r="E114" s="5">
        <v>-81.2497</v>
      </c>
      <c r="F114" s="4" t="s">
        <v>524</v>
      </c>
      <c r="G114" s="4" t="s">
        <v>70</v>
      </c>
      <c r="H114" s="4" t="s">
        <v>744</v>
      </c>
      <c r="I114" s="6" t="s">
        <v>745</v>
      </c>
      <c r="J114" s="11" t="s">
        <v>543</v>
      </c>
      <c r="K114" s="11" t="s">
        <v>746</v>
      </c>
      <c r="L114" s="7"/>
      <c r="M114" s="4" t="s">
        <v>747</v>
      </c>
    </row>
    <row r="115" ht="15.75" customHeight="1">
      <c r="A115" s="4" t="s">
        <v>748</v>
      </c>
      <c r="B115" s="5" t="s">
        <v>714</v>
      </c>
      <c r="C115" s="4" t="s">
        <v>749</v>
      </c>
      <c r="D115" s="4">
        <v>42.9898</v>
      </c>
      <c r="E115" s="4">
        <v>-81.22</v>
      </c>
      <c r="F115" s="4" t="s">
        <v>524</v>
      </c>
      <c r="G115" s="5" t="s">
        <v>525</v>
      </c>
      <c r="H115" s="4" t="s">
        <v>750</v>
      </c>
      <c r="I115" s="6" t="s">
        <v>751</v>
      </c>
      <c r="J115" s="11" t="s">
        <v>752</v>
      </c>
      <c r="K115" s="11" t="s">
        <v>753</v>
      </c>
      <c r="L115" s="7"/>
      <c r="M115" s="4" t="s">
        <v>754</v>
      </c>
    </row>
    <row r="116" ht="15.75" customHeight="1">
      <c r="A116" s="5" t="s">
        <v>755</v>
      </c>
      <c r="B116" s="5" t="s">
        <v>756</v>
      </c>
      <c r="C116" s="5" t="s">
        <v>757</v>
      </c>
      <c r="D116" s="5">
        <v>43.5929</v>
      </c>
      <c r="E116" s="5">
        <v>-79.6426</v>
      </c>
      <c r="F116" s="5" t="s">
        <v>524</v>
      </c>
      <c r="G116" s="5" t="s">
        <v>525</v>
      </c>
      <c r="H116" s="5" t="s">
        <v>758</v>
      </c>
      <c r="I116" s="6" t="s">
        <v>759</v>
      </c>
      <c r="J116" s="11" t="s">
        <v>760</v>
      </c>
      <c r="K116" s="11" t="s">
        <v>761</v>
      </c>
      <c r="L116" s="11" t="s">
        <v>762</v>
      </c>
      <c r="M116" s="5" t="s">
        <v>763</v>
      </c>
    </row>
    <row r="117" ht="15.75" customHeight="1">
      <c r="A117" s="4" t="s">
        <v>764</v>
      </c>
      <c r="B117" s="4" t="s">
        <v>756</v>
      </c>
      <c r="C117" s="4" t="s">
        <v>765</v>
      </c>
      <c r="D117" s="4">
        <v>43.6442</v>
      </c>
      <c r="E117" s="4">
        <v>-79.6973</v>
      </c>
      <c r="F117" s="4" t="s">
        <v>524</v>
      </c>
      <c r="G117" s="5" t="s">
        <v>328</v>
      </c>
      <c r="H117" s="4" t="s">
        <v>766</v>
      </c>
      <c r="I117" s="6" t="s">
        <v>767</v>
      </c>
      <c r="J117" s="11" t="s">
        <v>768</v>
      </c>
      <c r="K117" s="11" t="s">
        <v>769</v>
      </c>
      <c r="L117" s="7"/>
      <c r="M117" s="4" t="s">
        <v>770</v>
      </c>
    </row>
    <row r="118" ht="15.75" customHeight="1">
      <c r="A118" s="4" t="s">
        <v>771</v>
      </c>
      <c r="B118" s="4" t="s">
        <v>756</v>
      </c>
      <c r="C118" s="5" t="s">
        <v>772</v>
      </c>
      <c r="D118" s="5">
        <v>43.5325</v>
      </c>
      <c r="E118" s="5">
        <v>-79.6486</v>
      </c>
      <c r="F118" s="4" t="s">
        <v>524</v>
      </c>
      <c r="G118" s="5" t="s">
        <v>89</v>
      </c>
      <c r="H118" s="4" t="s">
        <v>773</v>
      </c>
      <c r="I118" s="6" t="s">
        <v>774</v>
      </c>
      <c r="J118" s="11" t="s">
        <v>775</v>
      </c>
      <c r="K118" s="11" t="s">
        <v>543</v>
      </c>
      <c r="L118" s="7"/>
      <c r="M118" s="4" t="s">
        <v>776</v>
      </c>
    </row>
    <row r="119" ht="15.75" customHeight="1">
      <c r="A119" s="4" t="s">
        <v>777</v>
      </c>
      <c r="B119" s="4" t="s">
        <v>778</v>
      </c>
      <c r="C119" s="4" t="s">
        <v>779</v>
      </c>
      <c r="D119" s="4">
        <v>43.6500614278158</v>
      </c>
      <c r="E119" s="4">
        <v>-79.3975424032274</v>
      </c>
      <c r="F119" s="4" t="s">
        <v>524</v>
      </c>
      <c r="G119" s="4" t="s">
        <v>33</v>
      </c>
      <c r="H119" s="4" t="s">
        <v>780</v>
      </c>
      <c r="I119" s="6" t="s">
        <v>781</v>
      </c>
      <c r="J119" s="11" t="s">
        <v>543</v>
      </c>
      <c r="K119" s="11" t="s">
        <v>782</v>
      </c>
      <c r="L119" s="7"/>
      <c r="M119" s="4" t="s">
        <v>783</v>
      </c>
    </row>
    <row r="120" ht="15.75" customHeight="1">
      <c r="A120" s="5" t="s">
        <v>784</v>
      </c>
      <c r="B120" s="5" t="s">
        <v>785</v>
      </c>
      <c r="C120" s="5" t="s">
        <v>786</v>
      </c>
      <c r="D120" s="5">
        <v>43.1223</v>
      </c>
      <c r="E120" s="5">
        <v>-79.0617</v>
      </c>
      <c r="F120" s="5" t="s">
        <v>524</v>
      </c>
      <c r="G120" s="5" t="s">
        <v>328</v>
      </c>
      <c r="H120" s="5" t="s">
        <v>787</v>
      </c>
      <c r="I120" s="6" t="s">
        <v>788</v>
      </c>
      <c r="J120" s="11" t="s">
        <v>789</v>
      </c>
      <c r="K120" s="11" t="s">
        <v>790</v>
      </c>
      <c r="L120" s="11" t="s">
        <v>791</v>
      </c>
      <c r="M120" s="4" t="s">
        <v>792</v>
      </c>
    </row>
    <row r="121" ht="15.75" customHeight="1">
      <c r="A121" s="5" t="s">
        <v>793</v>
      </c>
      <c r="B121" s="5" t="s">
        <v>756</v>
      </c>
      <c r="C121" s="5" t="s">
        <v>794</v>
      </c>
      <c r="D121" s="5">
        <v>43.5896</v>
      </c>
      <c r="E121" s="5">
        <v>-79.6443</v>
      </c>
      <c r="F121" s="5" t="s">
        <v>524</v>
      </c>
      <c r="G121" s="5" t="s">
        <v>89</v>
      </c>
      <c r="H121" s="5" t="s">
        <v>795</v>
      </c>
      <c r="I121" s="6" t="s">
        <v>796</v>
      </c>
      <c r="J121" s="11" t="s">
        <v>797</v>
      </c>
      <c r="K121" s="11" t="s">
        <v>798</v>
      </c>
      <c r="L121" s="7"/>
      <c r="M121" s="5" t="s">
        <v>799</v>
      </c>
    </row>
    <row r="122" ht="15.75" customHeight="1">
      <c r="A122" s="34" t="s">
        <v>800</v>
      </c>
      <c r="B122" s="4" t="s">
        <v>801</v>
      </c>
      <c r="C122" s="4" t="s">
        <v>802</v>
      </c>
      <c r="D122" s="4">
        <v>42.9723</v>
      </c>
      <c r="E122" s="5">
        <v>-82.3445</v>
      </c>
      <c r="F122" s="4" t="s">
        <v>524</v>
      </c>
      <c r="G122" s="5" t="s">
        <v>328</v>
      </c>
      <c r="H122" s="4" t="s">
        <v>803</v>
      </c>
      <c r="I122" s="6" t="s">
        <v>804</v>
      </c>
      <c r="J122" s="11" t="s">
        <v>805</v>
      </c>
      <c r="K122" s="11" t="s">
        <v>543</v>
      </c>
      <c r="L122" s="11" t="s">
        <v>806</v>
      </c>
      <c r="M122" s="4" t="s">
        <v>807</v>
      </c>
    </row>
    <row r="123" ht="15.75" customHeight="1">
      <c r="A123" s="5" t="s">
        <v>808</v>
      </c>
      <c r="B123" s="5" t="s">
        <v>809</v>
      </c>
      <c r="C123" s="5" t="s">
        <v>810</v>
      </c>
      <c r="D123" s="5">
        <v>43.11757</v>
      </c>
      <c r="E123" s="5">
        <v>-79.24769</v>
      </c>
      <c r="F123" s="5" t="s">
        <v>524</v>
      </c>
      <c r="G123" s="5" t="s">
        <v>89</v>
      </c>
      <c r="H123" s="5" t="s">
        <v>811</v>
      </c>
      <c r="I123" s="6" t="s">
        <v>812</v>
      </c>
      <c r="J123" s="11" t="s">
        <v>813</v>
      </c>
      <c r="K123" s="11" t="s">
        <v>543</v>
      </c>
      <c r="L123" s="7"/>
      <c r="M123" s="5" t="s">
        <v>814</v>
      </c>
    </row>
    <row r="124" ht="15.75" customHeight="1">
      <c r="A124" s="5" t="s">
        <v>815</v>
      </c>
      <c r="B124" s="5" t="s">
        <v>809</v>
      </c>
      <c r="C124" s="5" t="s">
        <v>816</v>
      </c>
      <c r="D124" s="5">
        <v>43.1593</v>
      </c>
      <c r="E124" s="5">
        <v>-79.2436</v>
      </c>
      <c r="F124" s="5" t="s">
        <v>524</v>
      </c>
      <c r="G124" s="5" t="s">
        <v>328</v>
      </c>
      <c r="H124" s="5" t="s">
        <v>817</v>
      </c>
      <c r="I124" s="6" t="s">
        <v>818</v>
      </c>
      <c r="J124" s="11" t="s">
        <v>543</v>
      </c>
      <c r="K124" s="11" t="s">
        <v>819</v>
      </c>
      <c r="L124" s="7"/>
      <c r="M124" s="5" t="s">
        <v>820</v>
      </c>
    </row>
    <row r="125" ht="15.75" customHeight="1">
      <c r="A125" s="5" t="s">
        <v>821</v>
      </c>
      <c r="B125" s="5" t="s">
        <v>822</v>
      </c>
      <c r="C125" s="5" t="s">
        <v>823</v>
      </c>
      <c r="D125" s="5">
        <v>43.6593</v>
      </c>
      <c r="E125" s="5">
        <v>-79.3906</v>
      </c>
      <c r="F125" s="5" t="s">
        <v>524</v>
      </c>
      <c r="G125" s="5" t="s">
        <v>89</v>
      </c>
      <c r="H125" s="5" t="s">
        <v>824</v>
      </c>
      <c r="I125" s="6" t="s">
        <v>825</v>
      </c>
      <c r="J125" s="11" t="s">
        <v>826</v>
      </c>
      <c r="K125" s="11" t="s">
        <v>543</v>
      </c>
      <c r="L125" s="11" t="s">
        <v>827</v>
      </c>
      <c r="M125" s="5" t="s">
        <v>828</v>
      </c>
    </row>
    <row r="126" ht="15.75" customHeight="1">
      <c r="A126" s="5" t="s">
        <v>829</v>
      </c>
      <c r="B126" s="5" t="s">
        <v>822</v>
      </c>
      <c r="C126" s="5" t="s">
        <v>830</v>
      </c>
      <c r="D126" s="5">
        <v>43.72928</v>
      </c>
      <c r="E126" s="5">
        <v>-79.606714</v>
      </c>
      <c r="F126" s="5" t="s">
        <v>524</v>
      </c>
      <c r="G126" s="5" t="s">
        <v>89</v>
      </c>
      <c r="H126" s="5" t="s">
        <v>831</v>
      </c>
      <c r="I126" s="6" t="s">
        <v>832</v>
      </c>
      <c r="J126" s="11" t="s">
        <v>833</v>
      </c>
      <c r="K126" s="11" t="s">
        <v>543</v>
      </c>
      <c r="L126" s="7"/>
      <c r="M126" s="5" t="s">
        <v>834</v>
      </c>
    </row>
    <row r="127" ht="15.75" customHeight="1">
      <c r="A127" s="5" t="s">
        <v>835</v>
      </c>
      <c r="B127" s="5" t="s">
        <v>822</v>
      </c>
      <c r="C127" s="5" t="s">
        <v>836</v>
      </c>
      <c r="D127" s="5">
        <v>43.6583</v>
      </c>
      <c r="E127" s="5">
        <v>-79.378</v>
      </c>
      <c r="F127" s="5" t="s">
        <v>524</v>
      </c>
      <c r="G127" s="5" t="s">
        <v>89</v>
      </c>
      <c r="H127" s="5" t="s">
        <v>837</v>
      </c>
      <c r="I127" s="6" t="s">
        <v>838</v>
      </c>
      <c r="J127" s="11" t="s">
        <v>839</v>
      </c>
      <c r="K127" s="11" t="s">
        <v>840</v>
      </c>
      <c r="L127" s="7"/>
      <c r="M127" s="5" t="s">
        <v>841</v>
      </c>
    </row>
    <row r="128" ht="15.75" customHeight="1">
      <c r="A128" s="4" t="s">
        <v>842</v>
      </c>
      <c r="B128" s="5" t="s">
        <v>822</v>
      </c>
      <c r="C128" s="4" t="s">
        <v>843</v>
      </c>
      <c r="D128" s="4">
        <v>43.6353</v>
      </c>
      <c r="E128" s="5">
        <v>-79.4111</v>
      </c>
      <c r="F128" s="4" t="s">
        <v>524</v>
      </c>
      <c r="G128" s="5" t="s">
        <v>270</v>
      </c>
      <c r="H128" s="4" t="s">
        <v>844</v>
      </c>
      <c r="I128" s="6" t="s">
        <v>845</v>
      </c>
      <c r="J128" s="11" t="s">
        <v>846</v>
      </c>
      <c r="K128" s="11" t="s">
        <v>847</v>
      </c>
      <c r="L128" s="7"/>
      <c r="M128" s="4" t="s">
        <v>848</v>
      </c>
    </row>
    <row r="129" ht="15.75" customHeight="1">
      <c r="A129" s="4" t="s">
        <v>849</v>
      </c>
      <c r="B129" s="5" t="s">
        <v>822</v>
      </c>
      <c r="C129" s="4" t="s">
        <v>850</v>
      </c>
      <c r="D129" s="4">
        <v>43.6599</v>
      </c>
      <c r="E129" s="5">
        <v>-79.3886</v>
      </c>
      <c r="F129" s="4" t="s">
        <v>524</v>
      </c>
      <c r="G129" s="5" t="s">
        <v>328</v>
      </c>
      <c r="H129" s="4" t="s">
        <v>851</v>
      </c>
      <c r="I129" s="6" t="s">
        <v>852</v>
      </c>
      <c r="J129" s="11" t="s">
        <v>853</v>
      </c>
      <c r="K129" s="11" t="s">
        <v>854</v>
      </c>
      <c r="L129" s="7"/>
      <c r="M129" s="4" t="s">
        <v>855</v>
      </c>
    </row>
    <row r="130" ht="15.75" customHeight="1">
      <c r="A130" s="4" t="s">
        <v>856</v>
      </c>
      <c r="B130" s="4" t="s">
        <v>822</v>
      </c>
      <c r="C130" s="4" t="s">
        <v>342</v>
      </c>
      <c r="D130" s="4">
        <v>42.7333</v>
      </c>
      <c r="E130" s="5">
        <v>-84.5518</v>
      </c>
      <c r="F130" s="4" t="s">
        <v>524</v>
      </c>
      <c r="G130" s="5" t="s">
        <v>89</v>
      </c>
      <c r="H130" s="4" t="s">
        <v>857</v>
      </c>
      <c r="I130" s="6" t="s">
        <v>858</v>
      </c>
      <c r="J130" s="11" t="s">
        <v>853</v>
      </c>
      <c r="K130" s="11" t="s">
        <v>854</v>
      </c>
      <c r="L130" s="7"/>
      <c r="M130" s="4" t="s">
        <v>859</v>
      </c>
    </row>
    <row r="131" ht="15.75" customHeight="1">
      <c r="A131" s="4" t="s">
        <v>860</v>
      </c>
      <c r="B131" s="5" t="s">
        <v>822</v>
      </c>
      <c r="C131" s="4" t="s">
        <v>861</v>
      </c>
      <c r="D131" s="4">
        <v>43.6479</v>
      </c>
      <c r="E131" s="5">
        <v>-79.3925</v>
      </c>
      <c r="F131" s="4" t="s">
        <v>524</v>
      </c>
      <c r="G131" s="5" t="s">
        <v>89</v>
      </c>
      <c r="H131" s="4" t="s">
        <v>862</v>
      </c>
      <c r="I131" s="6" t="s">
        <v>863</v>
      </c>
      <c r="J131" s="11" t="s">
        <v>543</v>
      </c>
      <c r="K131" s="11" t="s">
        <v>864</v>
      </c>
      <c r="L131" s="7"/>
      <c r="M131" s="4" t="s">
        <v>865</v>
      </c>
    </row>
    <row r="132" ht="15.75" customHeight="1">
      <c r="A132" s="4" t="s">
        <v>866</v>
      </c>
      <c r="B132" s="5" t="s">
        <v>822</v>
      </c>
      <c r="C132" s="4" t="s">
        <v>867</v>
      </c>
      <c r="D132" s="4">
        <v>43.671</v>
      </c>
      <c r="E132" s="4">
        <v>-79.383</v>
      </c>
      <c r="F132" s="4" t="s">
        <v>524</v>
      </c>
      <c r="G132" s="4" t="s">
        <v>17</v>
      </c>
      <c r="H132" s="4" t="s">
        <v>868</v>
      </c>
      <c r="I132" s="6" t="s">
        <v>869</v>
      </c>
      <c r="J132" s="11" t="s">
        <v>870</v>
      </c>
      <c r="K132" s="11" t="s">
        <v>543</v>
      </c>
      <c r="L132" s="7"/>
      <c r="M132" s="4" t="s">
        <v>871</v>
      </c>
    </row>
    <row r="133" ht="15.75" customHeight="1">
      <c r="A133" s="4" t="s">
        <v>872</v>
      </c>
      <c r="B133" s="5" t="s">
        <v>822</v>
      </c>
      <c r="C133" s="5" t="s">
        <v>873</v>
      </c>
      <c r="D133" s="5">
        <v>43.64678</v>
      </c>
      <c r="E133" s="5">
        <v>-79.38822</v>
      </c>
      <c r="F133" s="4" t="s">
        <v>524</v>
      </c>
      <c r="G133" s="5" t="s">
        <v>55</v>
      </c>
      <c r="H133" s="4" t="s">
        <v>874</v>
      </c>
      <c r="I133" s="6" t="s">
        <v>875</v>
      </c>
      <c r="J133" s="11" t="s">
        <v>876</v>
      </c>
      <c r="K133" s="11" t="s">
        <v>877</v>
      </c>
      <c r="L133" s="7"/>
      <c r="M133" s="4" t="s">
        <v>878</v>
      </c>
    </row>
    <row r="134" ht="15.75" customHeight="1">
      <c r="A134" s="5" t="s">
        <v>879</v>
      </c>
      <c r="B134" s="5" t="s">
        <v>880</v>
      </c>
      <c r="C134" s="5" t="s">
        <v>881</v>
      </c>
      <c r="D134" s="5">
        <v>45.422072495951</v>
      </c>
      <c r="E134" s="5">
        <v>-75.6966221031323</v>
      </c>
      <c r="F134" s="5" t="s">
        <v>524</v>
      </c>
      <c r="G134" s="4" t="s">
        <v>24</v>
      </c>
      <c r="H134" s="5" t="s">
        <v>882</v>
      </c>
      <c r="I134" s="6" t="s">
        <v>883</v>
      </c>
      <c r="J134" s="11" t="s">
        <v>884</v>
      </c>
      <c r="K134" s="11" t="s">
        <v>885</v>
      </c>
      <c r="L134" s="7"/>
      <c r="M134" s="5" t="s">
        <v>886</v>
      </c>
    </row>
    <row r="135" ht="15.75" customHeight="1">
      <c r="A135" s="4" t="s">
        <v>887</v>
      </c>
      <c r="B135" s="5" t="s">
        <v>822</v>
      </c>
      <c r="C135" s="5" t="s">
        <v>888</v>
      </c>
      <c r="D135" s="5">
        <v>43.6574</v>
      </c>
      <c r="E135" s="5">
        <v>-79.3802</v>
      </c>
      <c r="F135" s="4" t="s">
        <v>524</v>
      </c>
      <c r="G135" s="5" t="s">
        <v>89</v>
      </c>
      <c r="H135" s="4" t="s">
        <v>889</v>
      </c>
      <c r="I135" s="6" t="s">
        <v>890</v>
      </c>
      <c r="J135" s="11" t="s">
        <v>891</v>
      </c>
      <c r="K135" s="11" t="s">
        <v>892</v>
      </c>
      <c r="L135" s="7"/>
      <c r="M135" s="4" t="s">
        <v>893</v>
      </c>
    </row>
    <row r="136" ht="15.75" customHeight="1">
      <c r="A136" s="5" t="s">
        <v>894</v>
      </c>
      <c r="B136" s="5" t="s">
        <v>822</v>
      </c>
      <c r="C136" s="5" t="s">
        <v>895</v>
      </c>
      <c r="D136" s="5">
        <v>43.651</v>
      </c>
      <c r="E136" s="5">
        <v>-79.3809</v>
      </c>
      <c r="F136" s="5" t="s">
        <v>524</v>
      </c>
      <c r="G136" s="5" t="s">
        <v>33</v>
      </c>
      <c r="H136" s="5" t="s">
        <v>896</v>
      </c>
      <c r="I136" s="6" t="s">
        <v>897</v>
      </c>
      <c r="J136" s="11" t="s">
        <v>543</v>
      </c>
      <c r="K136" s="11" t="s">
        <v>543</v>
      </c>
      <c r="L136" s="11" t="s">
        <v>898</v>
      </c>
      <c r="M136" s="5" t="s">
        <v>899</v>
      </c>
    </row>
    <row r="137" ht="15.75" customHeight="1">
      <c r="A137" s="4" t="s">
        <v>900</v>
      </c>
      <c r="B137" s="5" t="s">
        <v>822</v>
      </c>
      <c r="C137" s="5" t="s">
        <v>901</v>
      </c>
      <c r="D137" s="5">
        <v>43.7735</v>
      </c>
      <c r="E137" s="5">
        <v>-79.5019</v>
      </c>
      <c r="F137" s="4" t="s">
        <v>524</v>
      </c>
      <c r="G137" s="4" t="s">
        <v>24</v>
      </c>
      <c r="H137" s="4" t="s">
        <v>902</v>
      </c>
      <c r="I137" s="6" t="s">
        <v>903</v>
      </c>
      <c r="J137" s="11" t="s">
        <v>904</v>
      </c>
      <c r="K137" s="11" t="s">
        <v>905</v>
      </c>
      <c r="L137" s="11" t="s">
        <v>906</v>
      </c>
      <c r="M137" s="4" t="s">
        <v>907</v>
      </c>
    </row>
    <row r="138" ht="15.75" customHeight="1">
      <c r="A138" s="4" t="s">
        <v>908</v>
      </c>
      <c r="B138" s="4" t="s">
        <v>822</v>
      </c>
      <c r="C138" s="5" t="s">
        <v>909</v>
      </c>
      <c r="D138" s="5">
        <v>43.6632</v>
      </c>
      <c r="E138" s="5">
        <v>-79.4108</v>
      </c>
      <c r="F138" s="4" t="s">
        <v>524</v>
      </c>
      <c r="G138" s="5" t="s">
        <v>328</v>
      </c>
      <c r="H138" s="4" t="s">
        <v>910</v>
      </c>
      <c r="I138" s="6" t="s">
        <v>911</v>
      </c>
      <c r="J138" s="11" t="s">
        <v>912</v>
      </c>
      <c r="K138" s="11" t="s">
        <v>913</v>
      </c>
      <c r="L138" s="7"/>
      <c r="M138" s="4" t="s">
        <v>914</v>
      </c>
    </row>
    <row r="139" ht="15.75" customHeight="1">
      <c r="A139" s="4" t="s">
        <v>915</v>
      </c>
      <c r="B139" s="5" t="s">
        <v>822</v>
      </c>
      <c r="C139" s="4" t="s">
        <v>916</v>
      </c>
      <c r="D139" s="4">
        <v>43.6653</v>
      </c>
      <c r="E139" s="4">
        <v>-79.3983</v>
      </c>
      <c r="F139" s="4" t="s">
        <v>524</v>
      </c>
      <c r="G139" s="5" t="s">
        <v>89</v>
      </c>
      <c r="H139" s="4" t="s">
        <v>917</v>
      </c>
      <c r="I139" s="6" t="s">
        <v>918</v>
      </c>
      <c r="J139" s="11" t="s">
        <v>919</v>
      </c>
      <c r="K139" s="11" t="s">
        <v>920</v>
      </c>
      <c r="L139" s="7"/>
      <c r="M139" s="4" t="s">
        <v>921</v>
      </c>
    </row>
    <row r="140" ht="15.75" customHeight="1">
      <c r="A140" s="4" t="s">
        <v>922</v>
      </c>
      <c r="B140" s="5" t="s">
        <v>923</v>
      </c>
      <c r="C140" s="41" t="s">
        <v>924</v>
      </c>
      <c r="D140" s="41">
        <v>43.7729</v>
      </c>
      <c r="E140" s="41">
        <v>-79.2572</v>
      </c>
      <c r="F140" s="4" t="s">
        <v>524</v>
      </c>
      <c r="G140" s="5" t="s">
        <v>525</v>
      </c>
      <c r="H140" s="4" t="s">
        <v>925</v>
      </c>
      <c r="I140" s="6" t="s">
        <v>926</v>
      </c>
      <c r="J140" s="7"/>
      <c r="K140" s="7"/>
      <c r="L140" s="7"/>
      <c r="M140" s="4" t="s">
        <v>927</v>
      </c>
    </row>
    <row r="141" ht="15.75" customHeight="1">
      <c r="A141" s="4" t="s">
        <v>928</v>
      </c>
      <c r="B141" s="5" t="s">
        <v>822</v>
      </c>
      <c r="C141" s="41" t="s">
        <v>929</v>
      </c>
      <c r="D141" s="41">
        <v>43.6554</v>
      </c>
      <c r="E141" s="4">
        <v>-79.3864</v>
      </c>
      <c r="F141" s="4" t="s">
        <v>524</v>
      </c>
      <c r="G141" s="5" t="s">
        <v>270</v>
      </c>
      <c r="H141" s="4" t="s">
        <v>930</v>
      </c>
      <c r="I141" s="6" t="s">
        <v>931</v>
      </c>
      <c r="J141" s="11" t="s">
        <v>932</v>
      </c>
      <c r="K141" s="11" t="s">
        <v>933</v>
      </c>
      <c r="L141" s="11" t="s">
        <v>934</v>
      </c>
      <c r="M141" s="4" t="s">
        <v>935</v>
      </c>
    </row>
    <row r="142" ht="15.75" customHeight="1">
      <c r="A142" s="4" t="s">
        <v>936</v>
      </c>
      <c r="B142" s="4" t="s">
        <v>778</v>
      </c>
      <c r="C142" s="5" t="s">
        <v>937</v>
      </c>
      <c r="D142" s="5">
        <v>43.65024</v>
      </c>
      <c r="E142" s="5">
        <v>-79.36388</v>
      </c>
      <c r="F142" s="4" t="s">
        <v>524</v>
      </c>
      <c r="G142" s="5" t="s">
        <v>55</v>
      </c>
      <c r="H142" s="4" t="s">
        <v>938</v>
      </c>
      <c r="I142" s="6" t="s">
        <v>939</v>
      </c>
      <c r="J142" s="11" t="s">
        <v>940</v>
      </c>
      <c r="K142" s="11" t="s">
        <v>941</v>
      </c>
      <c r="L142" s="7"/>
      <c r="M142" s="4" t="s">
        <v>942</v>
      </c>
    </row>
    <row r="143" ht="15.75" customHeight="1">
      <c r="A143" s="4" t="s">
        <v>943</v>
      </c>
      <c r="B143" s="4" t="s">
        <v>944</v>
      </c>
      <c r="C143" s="5" t="s">
        <v>945</v>
      </c>
      <c r="D143" s="5">
        <v>43.1667</v>
      </c>
      <c r="E143" s="5">
        <v>-79.4033</v>
      </c>
      <c r="F143" s="4" t="s">
        <v>524</v>
      </c>
      <c r="G143" s="4" t="s">
        <v>24</v>
      </c>
      <c r="H143" s="4" t="s">
        <v>946</v>
      </c>
      <c r="I143" s="6" t="s">
        <v>947</v>
      </c>
      <c r="J143" s="11" t="s">
        <v>948</v>
      </c>
      <c r="K143" s="11" t="s">
        <v>949</v>
      </c>
      <c r="L143" s="7"/>
      <c r="M143" s="4" t="s">
        <v>950</v>
      </c>
    </row>
    <row r="144" ht="15.75" customHeight="1">
      <c r="A144" s="5" t="s">
        <v>951</v>
      </c>
      <c r="B144" s="5" t="s">
        <v>952</v>
      </c>
      <c r="C144" s="5" t="s">
        <v>953</v>
      </c>
      <c r="D144" s="5">
        <v>43.46896</v>
      </c>
      <c r="E144" s="5">
        <v>-80.53926</v>
      </c>
      <c r="F144" s="4" t="s">
        <v>524</v>
      </c>
      <c r="G144" s="4" t="s">
        <v>24</v>
      </c>
      <c r="H144" s="5" t="s">
        <v>954</v>
      </c>
      <c r="I144" s="6" t="s">
        <v>955</v>
      </c>
      <c r="J144" s="11" t="s">
        <v>956</v>
      </c>
      <c r="K144" s="11" t="s">
        <v>543</v>
      </c>
      <c r="L144" s="7"/>
      <c r="M144" s="4" t="s">
        <v>957</v>
      </c>
    </row>
    <row r="145" ht="15.75" customHeight="1">
      <c r="A145" s="5" t="s">
        <v>958</v>
      </c>
      <c r="B145" s="5" t="s">
        <v>952</v>
      </c>
      <c r="C145" s="5" t="s">
        <v>953</v>
      </c>
      <c r="D145" s="5">
        <v>43.46896</v>
      </c>
      <c r="E145" s="5">
        <v>-80.53926</v>
      </c>
      <c r="F145" s="4" t="s">
        <v>524</v>
      </c>
      <c r="G145" s="4" t="s">
        <v>24</v>
      </c>
      <c r="H145" s="5" t="s">
        <v>959</v>
      </c>
      <c r="I145" s="6" t="s">
        <v>960</v>
      </c>
      <c r="J145" s="11" t="s">
        <v>961</v>
      </c>
      <c r="K145" s="11" t="s">
        <v>543</v>
      </c>
      <c r="L145" s="11" t="s">
        <v>962</v>
      </c>
      <c r="M145" s="4" t="s">
        <v>963</v>
      </c>
    </row>
    <row r="146" ht="15.75" customHeight="1">
      <c r="A146" s="5" t="s">
        <v>964</v>
      </c>
      <c r="B146" s="5" t="s">
        <v>952</v>
      </c>
      <c r="C146" s="5" t="s">
        <v>953</v>
      </c>
      <c r="D146" s="5">
        <v>43.46896</v>
      </c>
      <c r="E146" s="5">
        <v>-80.53926</v>
      </c>
      <c r="F146" s="4" t="s">
        <v>524</v>
      </c>
      <c r="G146" s="4" t="s">
        <v>24</v>
      </c>
      <c r="H146" s="5" t="s">
        <v>965</v>
      </c>
      <c r="I146" s="6" t="s">
        <v>966</v>
      </c>
      <c r="J146" s="11" t="s">
        <v>967</v>
      </c>
      <c r="K146" s="11" t="s">
        <v>543</v>
      </c>
      <c r="L146" s="11" t="s">
        <v>968</v>
      </c>
      <c r="M146" s="5" t="s">
        <v>969</v>
      </c>
    </row>
    <row r="147" ht="15.75" customHeight="1">
      <c r="A147" s="5" t="s">
        <v>970</v>
      </c>
      <c r="B147" s="5" t="s">
        <v>952</v>
      </c>
      <c r="C147" s="5" t="s">
        <v>953</v>
      </c>
      <c r="D147" s="5">
        <v>43.46896</v>
      </c>
      <c r="E147" s="5">
        <v>-80.53926</v>
      </c>
      <c r="F147" s="4" t="s">
        <v>524</v>
      </c>
      <c r="G147" s="4" t="s">
        <v>24</v>
      </c>
      <c r="H147" s="5" t="s">
        <v>971</v>
      </c>
      <c r="I147" s="6" t="s">
        <v>972</v>
      </c>
      <c r="J147" s="11" t="s">
        <v>973</v>
      </c>
      <c r="K147" s="11" t="s">
        <v>974</v>
      </c>
      <c r="L147" s="11" t="s">
        <v>975</v>
      </c>
      <c r="M147" s="5" t="s">
        <v>976</v>
      </c>
    </row>
    <row r="148" ht="15.75" customHeight="1">
      <c r="A148" s="5" t="s">
        <v>977</v>
      </c>
      <c r="B148" s="5" t="s">
        <v>952</v>
      </c>
      <c r="C148" s="5" t="s">
        <v>953</v>
      </c>
      <c r="D148" s="5">
        <v>43.46896</v>
      </c>
      <c r="E148" s="5">
        <v>-80.53926</v>
      </c>
      <c r="F148" s="4" t="s">
        <v>524</v>
      </c>
      <c r="G148" s="4" t="s">
        <v>24</v>
      </c>
      <c r="H148" s="5" t="s">
        <v>978</v>
      </c>
      <c r="I148" s="6" t="s">
        <v>979</v>
      </c>
      <c r="J148" s="11" t="s">
        <v>980</v>
      </c>
      <c r="K148" s="11" t="s">
        <v>974</v>
      </c>
      <c r="L148" s="7"/>
      <c r="M148" s="5" t="s">
        <v>981</v>
      </c>
    </row>
    <row r="149" ht="15.75" customHeight="1">
      <c r="A149" s="5" t="s">
        <v>982</v>
      </c>
      <c r="B149" s="5" t="s">
        <v>952</v>
      </c>
      <c r="C149" s="5" t="s">
        <v>983</v>
      </c>
      <c r="D149" s="5">
        <v>43.477384</v>
      </c>
      <c r="E149" s="5">
        <v>-80.549063</v>
      </c>
      <c r="F149" s="5" t="s">
        <v>524</v>
      </c>
      <c r="G149" s="5" t="s">
        <v>89</v>
      </c>
      <c r="H149" s="5" t="s">
        <v>984</v>
      </c>
      <c r="I149" s="6" t="s">
        <v>985</v>
      </c>
      <c r="J149" s="11" t="s">
        <v>986</v>
      </c>
      <c r="K149" s="11" t="s">
        <v>987</v>
      </c>
      <c r="L149" s="7"/>
      <c r="M149" s="5" t="s">
        <v>988</v>
      </c>
    </row>
    <row r="150" ht="15.75" customHeight="1">
      <c r="A150" s="5" t="s">
        <v>989</v>
      </c>
      <c r="B150" s="5" t="s">
        <v>952</v>
      </c>
      <c r="C150" s="5" t="s">
        <v>990</v>
      </c>
      <c r="D150" s="5">
        <v>43.4654</v>
      </c>
      <c r="E150" s="5">
        <v>-80.528</v>
      </c>
      <c r="F150" s="5" t="s">
        <v>524</v>
      </c>
      <c r="G150" s="4" t="s">
        <v>24</v>
      </c>
      <c r="H150" s="5" t="s">
        <v>991</v>
      </c>
      <c r="I150" s="6" t="s">
        <v>992</v>
      </c>
      <c r="J150" s="11" t="s">
        <v>543</v>
      </c>
      <c r="K150" s="11" t="s">
        <v>993</v>
      </c>
      <c r="L150" s="7"/>
      <c r="M150" s="5" t="s">
        <v>994</v>
      </c>
    </row>
    <row r="151" ht="15.75" customHeight="1">
      <c r="A151" s="5" t="s">
        <v>995</v>
      </c>
      <c r="B151" s="5" t="s">
        <v>952</v>
      </c>
      <c r="C151" s="5" t="s">
        <v>996</v>
      </c>
      <c r="D151" s="5">
        <v>43.46896</v>
      </c>
      <c r="E151" s="5">
        <v>-80.53926</v>
      </c>
      <c r="F151" s="4" t="s">
        <v>524</v>
      </c>
      <c r="G151" s="4" t="s">
        <v>24</v>
      </c>
      <c r="H151" s="5" t="s">
        <v>997</v>
      </c>
      <c r="I151" s="6" t="s">
        <v>998</v>
      </c>
      <c r="J151" s="11" t="s">
        <v>999</v>
      </c>
      <c r="K151" s="11" t="s">
        <v>1000</v>
      </c>
      <c r="L151" s="11" t="s">
        <v>1001</v>
      </c>
      <c r="M151" s="4" t="s">
        <v>1002</v>
      </c>
    </row>
    <row r="152" ht="15.75" customHeight="1">
      <c r="A152" s="5" t="s">
        <v>1003</v>
      </c>
      <c r="B152" s="5" t="s">
        <v>952</v>
      </c>
      <c r="C152" s="5" t="s">
        <v>1004</v>
      </c>
      <c r="D152" s="5">
        <v>43.4784</v>
      </c>
      <c r="E152" s="5">
        <v>-80.5556</v>
      </c>
      <c r="F152" s="5" t="s">
        <v>524</v>
      </c>
      <c r="G152" s="5" t="s">
        <v>89</v>
      </c>
      <c r="H152" s="5" t="s">
        <v>1005</v>
      </c>
      <c r="I152" s="6" t="s">
        <v>1006</v>
      </c>
      <c r="J152" s="11" t="s">
        <v>1007</v>
      </c>
      <c r="K152" s="11" t="s">
        <v>1008</v>
      </c>
      <c r="L152" s="7"/>
      <c r="M152" s="5" t="s">
        <v>1009</v>
      </c>
    </row>
    <row r="153" ht="15.75" customHeight="1">
      <c r="A153" s="4" t="s">
        <v>1010</v>
      </c>
      <c r="B153" s="5" t="s">
        <v>1011</v>
      </c>
      <c r="C153" s="5" t="s">
        <v>1012</v>
      </c>
      <c r="D153" s="5">
        <v>42.3178</v>
      </c>
      <c r="E153" s="5">
        <v>-83.0405</v>
      </c>
      <c r="F153" s="4" t="s">
        <v>524</v>
      </c>
      <c r="G153" s="4" t="s">
        <v>70</v>
      </c>
      <c r="H153" s="4" t="s">
        <v>1013</v>
      </c>
      <c r="I153" s="6" t="s">
        <v>1014</v>
      </c>
      <c r="J153" s="11" t="s">
        <v>1015</v>
      </c>
      <c r="K153" s="11" t="s">
        <v>1016</v>
      </c>
      <c r="L153" s="7"/>
      <c r="M153" s="4" t="s">
        <v>1017</v>
      </c>
    </row>
    <row r="154" ht="15.75" customHeight="1">
      <c r="A154" s="4" t="s">
        <v>1018</v>
      </c>
      <c r="B154" s="5" t="s">
        <v>1011</v>
      </c>
      <c r="C154" s="5" t="s">
        <v>1012</v>
      </c>
      <c r="D154" s="5">
        <v>42.3178</v>
      </c>
      <c r="E154" s="5">
        <v>-83.0405</v>
      </c>
      <c r="F154" s="4" t="s">
        <v>524</v>
      </c>
      <c r="G154" s="5" t="s">
        <v>525</v>
      </c>
      <c r="H154" s="4" t="s">
        <v>1019</v>
      </c>
      <c r="I154" s="6" t="s">
        <v>1020</v>
      </c>
      <c r="J154" s="11" t="s">
        <v>1021</v>
      </c>
      <c r="K154" s="11" t="s">
        <v>1022</v>
      </c>
      <c r="L154" s="7"/>
      <c r="M154" s="4" t="s">
        <v>1023</v>
      </c>
    </row>
    <row r="155" ht="15.75" customHeight="1">
      <c r="A155" s="5" t="s">
        <v>1024</v>
      </c>
      <c r="B155" s="5" t="s">
        <v>1011</v>
      </c>
      <c r="C155" s="5" t="s">
        <v>1025</v>
      </c>
      <c r="D155" s="5">
        <v>42.2539</v>
      </c>
      <c r="E155" s="5">
        <v>-83.0307</v>
      </c>
      <c r="F155" s="4" t="s">
        <v>524</v>
      </c>
      <c r="G155" s="4" t="s">
        <v>24</v>
      </c>
      <c r="H155" s="5" t="s">
        <v>1026</v>
      </c>
      <c r="I155" s="6" t="s">
        <v>1027</v>
      </c>
      <c r="J155" s="11" t="s">
        <v>1028</v>
      </c>
      <c r="K155" s="11" t="s">
        <v>1029</v>
      </c>
      <c r="L155" s="11" t="s">
        <v>1030</v>
      </c>
      <c r="M155" s="4" t="s">
        <v>1031</v>
      </c>
    </row>
    <row r="156" ht="15.75" customHeight="1">
      <c r="A156" s="5" t="s">
        <v>1032</v>
      </c>
      <c r="B156" s="5" t="s">
        <v>1011</v>
      </c>
      <c r="C156" s="5" t="s">
        <v>1033</v>
      </c>
      <c r="D156" s="5">
        <v>42.305</v>
      </c>
      <c r="E156" s="5">
        <v>-83.066</v>
      </c>
      <c r="F156" s="5" t="s">
        <v>524</v>
      </c>
      <c r="G156" s="5" t="s">
        <v>55</v>
      </c>
      <c r="H156" s="5" t="s">
        <v>1034</v>
      </c>
      <c r="I156" s="6" t="s">
        <v>1035</v>
      </c>
      <c r="J156" s="11" t="s">
        <v>1036</v>
      </c>
      <c r="K156" s="11" t="s">
        <v>543</v>
      </c>
      <c r="L156" s="7"/>
      <c r="M156" s="5" t="s">
        <v>1037</v>
      </c>
    </row>
    <row r="157" ht="15.75" customHeight="1">
      <c r="A157" s="5" t="s">
        <v>1038</v>
      </c>
      <c r="B157" s="5" t="s">
        <v>1011</v>
      </c>
      <c r="C157" s="5" t="s">
        <v>1039</v>
      </c>
      <c r="D157" s="5">
        <v>42.3182608696882</v>
      </c>
      <c r="E157" s="5">
        <v>-83.0419532186401</v>
      </c>
      <c r="F157" s="4" t="s">
        <v>524</v>
      </c>
      <c r="G157" s="5" t="s">
        <v>89</v>
      </c>
      <c r="H157" s="5" t="s">
        <v>1040</v>
      </c>
      <c r="I157" s="6" t="s">
        <v>1041</v>
      </c>
      <c r="J157" s="11" t="s">
        <v>1042</v>
      </c>
      <c r="K157" s="11" t="s">
        <v>1043</v>
      </c>
      <c r="L157" s="11" t="s">
        <v>1044</v>
      </c>
      <c r="M157" s="5" t="s">
        <v>1045</v>
      </c>
    </row>
    <row r="158" ht="15.75" customHeight="1">
      <c r="A158" s="5" t="s">
        <v>1046</v>
      </c>
      <c r="B158" s="5" t="s">
        <v>1011</v>
      </c>
      <c r="C158" s="5" t="s">
        <v>1047</v>
      </c>
      <c r="D158" s="5">
        <v>42.28499</v>
      </c>
      <c r="E158" s="5">
        <v>-83.01847</v>
      </c>
      <c r="F158" s="5" t="s">
        <v>524</v>
      </c>
      <c r="G158" s="5" t="s">
        <v>270</v>
      </c>
      <c r="H158" s="5" t="s">
        <v>1048</v>
      </c>
      <c r="I158" s="6" t="s">
        <v>1049</v>
      </c>
      <c r="J158" s="11" t="s">
        <v>1050</v>
      </c>
      <c r="K158" s="11" t="s">
        <v>1051</v>
      </c>
      <c r="L158" s="11" t="s">
        <v>1052</v>
      </c>
      <c r="M158" s="5" t="s">
        <v>1053</v>
      </c>
    </row>
    <row r="159" ht="15.75" customHeight="1">
      <c r="A159" s="5" t="s">
        <v>1054</v>
      </c>
      <c r="B159" s="5" t="s">
        <v>1011</v>
      </c>
      <c r="C159" s="5" t="s">
        <v>1055</v>
      </c>
      <c r="D159" s="5">
        <v>42.3173</v>
      </c>
      <c r="E159" s="5">
        <v>-83.0386</v>
      </c>
      <c r="F159" s="5" t="s">
        <v>524</v>
      </c>
      <c r="G159" s="5" t="s">
        <v>328</v>
      </c>
      <c r="H159" s="5" t="s">
        <v>1056</v>
      </c>
      <c r="I159" s="6" t="s">
        <v>1057</v>
      </c>
      <c r="J159" s="11" t="s">
        <v>1058</v>
      </c>
      <c r="K159" s="11" t="s">
        <v>1059</v>
      </c>
      <c r="L159" s="7"/>
      <c r="M159" s="5" t="s">
        <v>1060</v>
      </c>
    </row>
    <row r="160" ht="15.75" customHeight="1">
      <c r="A160" s="5" t="s">
        <v>1061</v>
      </c>
      <c r="B160" s="5" t="s">
        <v>1011</v>
      </c>
      <c r="C160" s="5" t="s">
        <v>1062</v>
      </c>
      <c r="D160" s="5">
        <v>42.3036</v>
      </c>
      <c r="E160" s="5">
        <v>-82.9317</v>
      </c>
      <c r="F160" s="4" t="s">
        <v>524</v>
      </c>
      <c r="G160" s="5" t="s">
        <v>55</v>
      </c>
      <c r="H160" s="5" t="s">
        <v>1063</v>
      </c>
      <c r="I160" s="6" t="s">
        <v>1064</v>
      </c>
      <c r="J160" s="11" t="s">
        <v>1065</v>
      </c>
      <c r="K160" s="11" t="s">
        <v>1066</v>
      </c>
      <c r="L160" s="11" t="s">
        <v>1067</v>
      </c>
      <c r="M160" s="5" t="s">
        <v>1068</v>
      </c>
    </row>
    <row r="161" ht="15.75" customHeight="1">
      <c r="A161" s="5" t="s">
        <v>1069</v>
      </c>
      <c r="B161" s="5" t="s">
        <v>1011</v>
      </c>
      <c r="C161" s="5" t="s">
        <v>1070</v>
      </c>
      <c r="D161" s="5">
        <v>42.2938</v>
      </c>
      <c r="E161" s="5">
        <v>-82.9502</v>
      </c>
      <c r="F161" s="5" t="s">
        <v>524</v>
      </c>
      <c r="G161" s="5" t="s">
        <v>55</v>
      </c>
      <c r="H161" s="5" t="s">
        <v>1071</v>
      </c>
      <c r="I161" s="6" t="s">
        <v>1072</v>
      </c>
      <c r="J161" s="11" t="s">
        <v>1073</v>
      </c>
      <c r="K161" s="11" t="s">
        <v>1074</v>
      </c>
      <c r="L161" s="7"/>
      <c r="M161" s="5" t="s">
        <v>1075</v>
      </c>
    </row>
    <row r="162" ht="15.75" customHeight="1">
      <c r="A162" s="5" t="s">
        <v>1076</v>
      </c>
      <c r="B162" s="5" t="s">
        <v>1011</v>
      </c>
      <c r="C162" s="5" t="s">
        <v>1070</v>
      </c>
      <c r="D162" s="5">
        <v>42.2938</v>
      </c>
      <c r="E162" s="5">
        <v>-82.9502</v>
      </c>
      <c r="F162" s="5" t="s">
        <v>524</v>
      </c>
      <c r="G162" s="5" t="s">
        <v>55</v>
      </c>
      <c r="H162" s="5" t="s">
        <v>1077</v>
      </c>
      <c r="I162" s="6" t="s">
        <v>1078</v>
      </c>
      <c r="J162" s="11" t="s">
        <v>543</v>
      </c>
      <c r="K162" s="11" t="s">
        <v>1079</v>
      </c>
      <c r="L162" s="11" t="s">
        <v>1080</v>
      </c>
      <c r="M162" s="5" t="s">
        <v>1081</v>
      </c>
    </row>
    <row r="163" ht="15.75" customHeight="1">
      <c r="A163" s="5" t="s">
        <v>1082</v>
      </c>
      <c r="B163" s="5" t="s">
        <v>1011</v>
      </c>
      <c r="C163" s="5" t="s">
        <v>1083</v>
      </c>
      <c r="D163" s="5">
        <v>42.3063</v>
      </c>
      <c r="E163" s="5">
        <v>-83.0659</v>
      </c>
      <c r="F163" s="4" t="s">
        <v>524</v>
      </c>
      <c r="G163" s="4" t="s">
        <v>24</v>
      </c>
      <c r="H163" s="5" t="s">
        <v>1084</v>
      </c>
      <c r="I163" s="6" t="s">
        <v>1085</v>
      </c>
      <c r="J163" s="11" t="s">
        <v>1086</v>
      </c>
      <c r="K163" s="11" t="s">
        <v>1087</v>
      </c>
      <c r="L163" s="11" t="s">
        <v>1088</v>
      </c>
      <c r="M163" s="5" t="s">
        <v>1089</v>
      </c>
    </row>
    <row r="164" ht="15.75" customHeight="1">
      <c r="A164" s="5" t="s">
        <v>1090</v>
      </c>
      <c r="B164" s="5" t="s">
        <v>1011</v>
      </c>
      <c r="C164" s="5" t="s">
        <v>1091</v>
      </c>
      <c r="D164" s="5">
        <v>42.3079203915664</v>
      </c>
      <c r="E164" s="5">
        <v>-83.073188826581</v>
      </c>
      <c r="F164" s="4" t="s">
        <v>524</v>
      </c>
      <c r="G164" s="4" t="s">
        <v>24</v>
      </c>
      <c r="H164" s="5" t="s">
        <v>1092</v>
      </c>
      <c r="I164" s="6" t="s">
        <v>1093</v>
      </c>
      <c r="J164" s="11" t="s">
        <v>1094</v>
      </c>
      <c r="K164" s="11" t="s">
        <v>1095</v>
      </c>
      <c r="L164" s="11" t="s">
        <v>1096</v>
      </c>
      <c r="M164" s="5" t="s">
        <v>1097</v>
      </c>
    </row>
    <row r="165" ht="15.75" customHeight="1">
      <c r="A165" s="5" t="s">
        <v>1098</v>
      </c>
      <c r="B165" s="5" t="s">
        <v>1011</v>
      </c>
      <c r="C165" s="5" t="s">
        <v>1099</v>
      </c>
      <c r="D165" s="5">
        <v>42.3157477386104</v>
      </c>
      <c r="E165" s="5">
        <v>-83.0470754744611</v>
      </c>
      <c r="F165" s="4" t="s">
        <v>524</v>
      </c>
      <c r="G165" s="4" t="s">
        <v>24</v>
      </c>
      <c r="H165" s="5" t="s">
        <v>1100</v>
      </c>
      <c r="I165" s="6" t="s">
        <v>1101</v>
      </c>
      <c r="J165" s="11" t="s">
        <v>1102</v>
      </c>
      <c r="K165" s="11" t="s">
        <v>1103</v>
      </c>
      <c r="L165" s="11" t="s">
        <v>1104</v>
      </c>
      <c r="M165" s="5" t="s">
        <v>1105</v>
      </c>
    </row>
    <row r="166" ht="15.75" customHeight="1">
      <c r="A166" s="34" t="s">
        <v>1106</v>
      </c>
      <c r="B166" s="4" t="s">
        <v>1011</v>
      </c>
      <c r="C166" s="4" t="s">
        <v>1107</v>
      </c>
      <c r="D166" s="4">
        <v>42.3179</v>
      </c>
      <c r="E166" s="4">
        <v>-83.0386</v>
      </c>
      <c r="F166" s="4" t="s">
        <v>524</v>
      </c>
      <c r="G166" s="5" t="s">
        <v>328</v>
      </c>
      <c r="H166" s="4" t="s">
        <v>1108</v>
      </c>
      <c r="I166" s="6" t="s">
        <v>1109</v>
      </c>
      <c r="J166" s="11" t="s">
        <v>1110</v>
      </c>
      <c r="K166" s="11" t="s">
        <v>543</v>
      </c>
      <c r="L166" s="11"/>
      <c r="M166" s="4" t="s">
        <v>1111</v>
      </c>
    </row>
    <row r="167" ht="15.75" customHeight="1">
      <c r="A167" s="5" t="s">
        <v>1112</v>
      </c>
      <c r="B167" s="5" t="s">
        <v>1011</v>
      </c>
      <c r="C167" s="4" t="s">
        <v>1113</v>
      </c>
      <c r="D167" s="4">
        <v>42.327760101657</v>
      </c>
      <c r="E167" s="4">
        <v>-82.9578274834199</v>
      </c>
      <c r="F167" s="4" t="s">
        <v>524</v>
      </c>
      <c r="G167" s="5" t="s">
        <v>33</v>
      </c>
      <c r="H167" s="5" t="s">
        <v>1114</v>
      </c>
      <c r="I167" s="6" t="s">
        <v>1115</v>
      </c>
      <c r="J167" s="11" t="s">
        <v>1116</v>
      </c>
      <c r="K167" s="11" t="s">
        <v>1117</v>
      </c>
      <c r="L167" s="11" t="s">
        <v>1118</v>
      </c>
      <c r="M167" s="5" t="s">
        <v>1119</v>
      </c>
    </row>
    <row r="168" ht="15.75" customHeight="1">
      <c r="A168" s="5" t="s">
        <v>1120</v>
      </c>
      <c r="B168" s="5" t="s">
        <v>778</v>
      </c>
      <c r="C168" s="5" t="s">
        <v>1121</v>
      </c>
      <c r="D168" s="4">
        <v>43.6545988333453</v>
      </c>
      <c r="E168" s="4">
        <v>-79.3804270474062</v>
      </c>
      <c r="F168" s="4" t="s">
        <v>524</v>
      </c>
      <c r="G168" s="5" t="s">
        <v>33</v>
      </c>
      <c r="H168" s="5" t="s">
        <v>1122</v>
      </c>
      <c r="I168" s="6" t="s">
        <v>1123</v>
      </c>
      <c r="J168" s="11" t="s">
        <v>1124</v>
      </c>
      <c r="K168" s="11" t="s">
        <v>1125</v>
      </c>
      <c r="L168" s="11"/>
      <c r="M168" s="5" t="s">
        <v>1126</v>
      </c>
    </row>
    <row r="169" ht="15.75" customHeight="1">
      <c r="A169" s="4" t="s">
        <v>1127</v>
      </c>
      <c r="B169" s="4" t="s">
        <v>778</v>
      </c>
      <c r="C169" s="4" t="s">
        <v>1128</v>
      </c>
      <c r="D169" s="4">
        <v>43.65906</v>
      </c>
      <c r="E169" s="4">
        <v>-79.38921</v>
      </c>
      <c r="F169" s="4" t="s">
        <v>524</v>
      </c>
      <c r="G169" s="5" t="s">
        <v>328</v>
      </c>
      <c r="H169" s="4" t="s">
        <v>1129</v>
      </c>
      <c r="I169" s="6" t="s">
        <v>1130</v>
      </c>
      <c r="J169" s="11" t="s">
        <v>1131</v>
      </c>
      <c r="K169" s="11" t="s">
        <v>1132</v>
      </c>
      <c r="L169" s="11"/>
      <c r="M169" s="4" t="s">
        <v>1133</v>
      </c>
    </row>
    <row r="170" ht="15.75" customHeight="1">
      <c r="A170" s="4" t="s">
        <v>1134</v>
      </c>
      <c r="B170" s="4" t="s">
        <v>822</v>
      </c>
      <c r="C170" s="4" t="s">
        <v>1135</v>
      </c>
      <c r="D170" s="4">
        <v>43.6603982265977</v>
      </c>
      <c r="E170" s="4">
        <v>-79.3891561320626</v>
      </c>
      <c r="F170" s="4" t="s">
        <v>524</v>
      </c>
      <c r="G170" s="4" t="s">
        <v>24</v>
      </c>
      <c r="H170" s="4" t="s">
        <v>1136</v>
      </c>
      <c r="I170" s="6" t="s">
        <v>1137</v>
      </c>
      <c r="J170" s="11" t="s">
        <v>1138</v>
      </c>
      <c r="K170" s="11" t="s">
        <v>543</v>
      </c>
      <c r="L170" s="11"/>
      <c r="M170" s="4" t="s">
        <v>1139</v>
      </c>
    </row>
    <row r="171" ht="15.75" customHeight="1">
      <c r="A171" s="4" t="s">
        <v>1140</v>
      </c>
      <c r="B171" s="4" t="s">
        <v>822</v>
      </c>
      <c r="C171" s="4" t="s">
        <v>1141</v>
      </c>
      <c r="D171" s="4">
        <v>43.6431607557893</v>
      </c>
      <c r="E171" s="4">
        <v>-79.3903069576716</v>
      </c>
      <c r="F171" s="4" t="s">
        <v>524</v>
      </c>
      <c r="G171" s="5" t="s">
        <v>328</v>
      </c>
      <c r="H171" s="4" t="s">
        <v>1142</v>
      </c>
      <c r="I171" s="6" t="s">
        <v>1143</v>
      </c>
      <c r="J171" s="11" t="s">
        <v>1144</v>
      </c>
      <c r="K171" s="11" t="s">
        <v>1145</v>
      </c>
      <c r="L171" s="11" t="s">
        <v>1146</v>
      </c>
      <c r="M171" s="4" t="s">
        <v>1147</v>
      </c>
    </row>
    <row r="172" ht="15.75" customHeight="1">
      <c r="A172" s="4" t="s">
        <v>1148</v>
      </c>
      <c r="B172" s="4" t="s">
        <v>630</v>
      </c>
      <c r="C172" s="4" t="s">
        <v>1149</v>
      </c>
      <c r="D172" s="4">
        <v>43.2568404807147</v>
      </c>
      <c r="E172" s="4">
        <v>-79.9006756320839</v>
      </c>
      <c r="F172" s="4" t="s">
        <v>524</v>
      </c>
      <c r="G172" s="5" t="s">
        <v>55</v>
      </c>
      <c r="H172" s="4" t="s">
        <v>1150</v>
      </c>
      <c r="I172" s="6" t="s">
        <v>1151</v>
      </c>
      <c r="J172" s="11" t="s">
        <v>1152</v>
      </c>
      <c r="K172" s="11" t="s">
        <v>543</v>
      </c>
      <c r="L172" s="11"/>
      <c r="M172" s="4" t="s">
        <v>1153</v>
      </c>
    </row>
    <row r="173" ht="15.75" customHeight="1">
      <c r="A173" s="4" t="s">
        <v>1154</v>
      </c>
      <c r="B173" s="4" t="s">
        <v>822</v>
      </c>
      <c r="C173" s="4" t="s">
        <v>1155</v>
      </c>
      <c r="D173" s="4">
        <v>43.6488986999999</v>
      </c>
      <c r="E173" s="4">
        <v>-79.3748347288358</v>
      </c>
      <c r="F173" s="4" t="s">
        <v>524</v>
      </c>
      <c r="G173" s="4" t="s">
        <v>33</v>
      </c>
      <c r="H173" s="4" t="s">
        <v>1156</v>
      </c>
      <c r="I173" s="6" t="s">
        <v>1157</v>
      </c>
      <c r="J173" s="11" t="s">
        <v>1158</v>
      </c>
      <c r="K173" s="11" t="s">
        <v>1159</v>
      </c>
      <c r="L173" s="11"/>
      <c r="M173" s="4" t="s">
        <v>1160</v>
      </c>
    </row>
    <row r="174" ht="15.75" customHeight="1">
      <c r="A174" s="4" t="s">
        <v>1161</v>
      </c>
      <c r="B174" s="4" t="s">
        <v>1011</v>
      </c>
      <c r="C174" s="4" t="s">
        <v>1162</v>
      </c>
      <c r="D174" s="4">
        <v>42.3251629034054</v>
      </c>
      <c r="E174" s="4">
        <v>-83.0137601321323</v>
      </c>
      <c r="F174" s="4" t="s">
        <v>524</v>
      </c>
      <c r="G174" s="4" t="s">
        <v>33</v>
      </c>
      <c r="H174" s="4" t="s">
        <v>1163</v>
      </c>
      <c r="I174" s="6" t="s">
        <v>1164</v>
      </c>
      <c r="J174" s="11" t="s">
        <v>543</v>
      </c>
      <c r="K174" s="11" t="s">
        <v>1165</v>
      </c>
      <c r="L174" s="11"/>
      <c r="M174" s="4" t="s">
        <v>1166</v>
      </c>
    </row>
    <row r="175" ht="15.75" customHeight="1">
      <c r="A175" s="4" t="s">
        <v>1167</v>
      </c>
      <c r="B175" s="4" t="s">
        <v>822</v>
      </c>
      <c r="C175" s="4" t="s">
        <v>1168</v>
      </c>
      <c r="D175" s="4">
        <v>43.6799762786669</v>
      </c>
      <c r="E175" s="4">
        <v>-79.4053405847207</v>
      </c>
      <c r="F175" s="4" t="s">
        <v>524</v>
      </c>
      <c r="G175" s="5" t="s">
        <v>328</v>
      </c>
      <c r="H175" s="4" t="s">
        <v>1169</v>
      </c>
      <c r="I175" s="6" t="s">
        <v>1170</v>
      </c>
      <c r="J175" s="11" t="s">
        <v>1171</v>
      </c>
      <c r="K175" s="11" t="s">
        <v>543</v>
      </c>
      <c r="L175" s="11"/>
      <c r="M175" s="4" t="s">
        <v>1172</v>
      </c>
    </row>
    <row r="176" ht="15.75" customHeight="1">
      <c r="A176" s="23" t="s">
        <v>1173</v>
      </c>
      <c r="B176" s="23" t="s">
        <v>822</v>
      </c>
      <c r="C176" s="23" t="s">
        <v>1174</v>
      </c>
      <c r="D176" s="23">
        <v>43.661681034443</v>
      </c>
      <c r="E176" s="42">
        <v>-79.3828431135019</v>
      </c>
      <c r="F176" s="4" t="s">
        <v>524</v>
      </c>
      <c r="G176" s="4" t="s">
        <v>17</v>
      </c>
      <c r="H176" s="4" t="s">
        <v>1175</v>
      </c>
      <c r="I176" s="6" t="s">
        <v>1176</v>
      </c>
      <c r="J176" s="11" t="s">
        <v>1177</v>
      </c>
      <c r="K176" s="11" t="s">
        <v>1178</v>
      </c>
      <c r="L176" s="11"/>
      <c r="M176" s="4" t="s">
        <v>1179</v>
      </c>
    </row>
    <row r="177" ht="15.75" customHeight="1">
      <c r="A177" s="4" t="s">
        <v>1180</v>
      </c>
      <c r="B177" s="4" t="s">
        <v>1011</v>
      </c>
      <c r="C177" s="5" t="s">
        <v>1083</v>
      </c>
      <c r="D177" s="5">
        <v>42.3063</v>
      </c>
      <c r="E177" s="5">
        <v>-83.0659</v>
      </c>
      <c r="F177" s="4" t="s">
        <v>524</v>
      </c>
      <c r="G177" s="5" t="s">
        <v>55</v>
      </c>
      <c r="H177" s="4" t="s">
        <v>1181</v>
      </c>
      <c r="I177" s="6" t="s">
        <v>1182</v>
      </c>
      <c r="J177" s="11" t="s">
        <v>1183</v>
      </c>
      <c r="K177" s="11" t="s">
        <v>543</v>
      </c>
      <c r="L177" s="11" t="s">
        <v>1184</v>
      </c>
      <c r="M177" s="4" t="s">
        <v>1185</v>
      </c>
    </row>
    <row r="178">
      <c r="A178" s="5" t="s">
        <v>1186</v>
      </c>
      <c r="B178" s="5" t="s">
        <v>561</v>
      </c>
      <c r="C178" s="4" t="s">
        <v>1187</v>
      </c>
      <c r="D178" s="4">
        <v>43.3959</v>
      </c>
      <c r="E178" s="4">
        <v>-79.7613</v>
      </c>
      <c r="F178" s="4" t="s">
        <v>524</v>
      </c>
      <c r="G178" s="5" t="s">
        <v>33</v>
      </c>
      <c r="H178" s="5" t="s">
        <v>1188</v>
      </c>
      <c r="I178" s="6" t="s">
        <v>1189</v>
      </c>
      <c r="J178" s="11" t="s">
        <v>1190</v>
      </c>
      <c r="K178" s="11" t="s">
        <v>543</v>
      </c>
      <c r="L178" s="11"/>
      <c r="M178" s="5" t="s">
        <v>1191</v>
      </c>
    </row>
    <row r="179" ht="15.75" customHeight="1">
      <c r="C179" s="5"/>
      <c r="D179" s="5"/>
      <c r="E179" s="5"/>
      <c r="F179" s="5"/>
      <c r="J179" s="21"/>
      <c r="K179" s="21"/>
      <c r="L179" s="21"/>
    </row>
    <row r="180" ht="15.75" customHeight="1">
      <c r="C180" s="5"/>
      <c r="D180" s="5"/>
      <c r="E180" s="5"/>
      <c r="F180" s="5"/>
      <c r="J180" s="21"/>
      <c r="K180" s="21"/>
      <c r="L180" s="21"/>
    </row>
    <row r="181" ht="15.75" customHeight="1">
      <c r="C181" s="5"/>
      <c r="D181" s="5"/>
      <c r="E181" s="5"/>
      <c r="F181" s="5"/>
      <c r="J181" s="21"/>
      <c r="K181" s="21"/>
      <c r="L181" s="21"/>
    </row>
    <row r="182" ht="15.75" customHeight="1">
      <c r="C182" s="5"/>
      <c r="D182" s="5"/>
      <c r="E182" s="5"/>
      <c r="F182" s="5"/>
      <c r="J182" s="21"/>
      <c r="K182" s="21"/>
      <c r="L182" s="21"/>
    </row>
    <row r="183" ht="15.75" customHeight="1">
      <c r="C183" s="5"/>
      <c r="D183" s="5"/>
      <c r="E183" s="5"/>
      <c r="F183" s="5"/>
      <c r="J183" s="21"/>
      <c r="K183" s="21"/>
      <c r="L183" s="21"/>
    </row>
    <row r="184" ht="15.75" customHeight="1">
      <c r="J184" s="21"/>
      <c r="K184" s="21"/>
      <c r="L184" s="21"/>
    </row>
    <row r="185" ht="15.75" customHeight="1">
      <c r="G185" s="5"/>
      <c r="H185" s="5"/>
      <c r="J185" s="21"/>
      <c r="K185" s="21"/>
      <c r="L185" s="21"/>
    </row>
    <row r="186" ht="15.75" customHeight="1">
      <c r="G186" s="5"/>
      <c r="H186" s="5"/>
      <c r="J186" s="21"/>
      <c r="K186" s="21"/>
      <c r="L186" s="21"/>
    </row>
    <row r="187" ht="15.75" customHeight="1">
      <c r="G187" s="5"/>
      <c r="H187" s="5"/>
      <c r="J187" s="21"/>
      <c r="K187" s="21"/>
      <c r="L187" s="21"/>
    </row>
    <row r="188" ht="15.75" customHeight="1">
      <c r="G188" s="5"/>
      <c r="H188" s="5"/>
      <c r="J188" s="21"/>
      <c r="K188" s="21"/>
      <c r="L188" s="21"/>
    </row>
    <row r="189" ht="15.75" customHeight="1">
      <c r="G189" s="5"/>
      <c r="H189" s="5"/>
      <c r="J189" s="21"/>
      <c r="K189" s="21"/>
      <c r="L189" s="21"/>
    </row>
    <row r="190" ht="15.75" customHeight="1">
      <c r="J190" s="21"/>
      <c r="K190" s="21"/>
      <c r="L190" s="21"/>
    </row>
    <row r="191" ht="15.75" customHeight="1">
      <c r="J191" s="21"/>
      <c r="K191" s="21"/>
      <c r="L191" s="21"/>
    </row>
    <row r="192" ht="15.75" customHeight="1">
      <c r="J192" s="21"/>
      <c r="K192" s="21"/>
      <c r="L192" s="21"/>
    </row>
    <row r="193" ht="15.75" customHeight="1">
      <c r="C193" s="5"/>
      <c r="D193" s="5"/>
      <c r="E193" s="5"/>
      <c r="F193" s="5"/>
      <c r="J193" s="21"/>
      <c r="K193" s="21"/>
      <c r="L193" s="21"/>
    </row>
    <row r="194" ht="15.75" customHeight="1">
      <c r="C194" s="5"/>
      <c r="D194" s="5"/>
      <c r="E194" s="5"/>
      <c r="F194" s="5"/>
      <c r="J194" s="21"/>
      <c r="K194" s="21"/>
      <c r="L194" s="21"/>
    </row>
    <row r="195" ht="15.75" customHeight="1">
      <c r="C195" s="5"/>
      <c r="D195" s="5"/>
      <c r="E195" s="5"/>
      <c r="F195" s="5"/>
      <c r="J195" s="21"/>
      <c r="K195" s="21"/>
      <c r="L195" s="21"/>
    </row>
    <row r="196" ht="15.75" customHeight="1">
      <c r="C196" s="5"/>
      <c r="D196" s="5"/>
      <c r="E196" s="5"/>
      <c r="F196" s="5"/>
      <c r="J196" s="21"/>
      <c r="K196" s="21"/>
      <c r="L196" s="21"/>
    </row>
    <row r="197" ht="15.75" customHeight="1">
      <c r="C197" s="5"/>
      <c r="D197" s="5"/>
      <c r="E197" s="5"/>
      <c r="F197" s="5"/>
      <c r="J197" s="21"/>
      <c r="K197" s="21"/>
      <c r="L197" s="21"/>
    </row>
    <row r="198" ht="15.75" customHeight="1">
      <c r="J198" s="21"/>
      <c r="K198" s="21"/>
      <c r="L198" s="21"/>
    </row>
    <row r="199" ht="15.75" customHeight="1">
      <c r="J199" s="21"/>
      <c r="K199" s="21"/>
      <c r="L199" s="21"/>
    </row>
    <row r="200" ht="15.75" customHeight="1">
      <c r="J200" s="21"/>
      <c r="K200" s="21"/>
      <c r="L200" s="21"/>
    </row>
    <row r="201" ht="15.75" customHeight="1">
      <c r="J201" s="21"/>
      <c r="K201" s="21"/>
      <c r="L201" s="21"/>
    </row>
    <row r="202" ht="15.75" customHeight="1">
      <c r="J202" s="21"/>
      <c r="K202" s="21"/>
      <c r="L202" s="21"/>
    </row>
    <row r="203" ht="15.75" customHeight="1">
      <c r="C203" s="5"/>
      <c r="D203" s="5"/>
      <c r="E203" s="5"/>
      <c r="F203" s="5"/>
      <c r="J203" s="21"/>
      <c r="K203" s="21"/>
      <c r="L203" s="21"/>
    </row>
    <row r="204" ht="15.75" customHeight="1">
      <c r="C204" s="5"/>
      <c r="D204" s="5"/>
      <c r="E204" s="5"/>
      <c r="F204" s="5"/>
      <c r="J204" s="21"/>
      <c r="K204" s="21"/>
      <c r="L204" s="21"/>
    </row>
    <row r="205" ht="15.75" customHeight="1">
      <c r="C205" s="5"/>
      <c r="D205" s="5"/>
      <c r="E205" s="5"/>
      <c r="F205" s="5"/>
      <c r="J205" s="21"/>
      <c r="K205" s="21"/>
      <c r="L205" s="21"/>
    </row>
    <row r="206" ht="15.75" customHeight="1">
      <c r="C206" s="5"/>
      <c r="D206" s="5"/>
      <c r="E206" s="5"/>
      <c r="F206" s="5"/>
      <c r="J206" s="21"/>
      <c r="K206" s="21"/>
      <c r="L206" s="21"/>
    </row>
    <row r="207" ht="15.75" customHeight="1">
      <c r="C207" s="5"/>
      <c r="D207" s="5"/>
      <c r="E207" s="5"/>
      <c r="F207" s="5"/>
      <c r="J207" s="21"/>
      <c r="K207" s="21"/>
      <c r="L207" s="21"/>
    </row>
    <row r="208" ht="15.75" customHeight="1">
      <c r="J208" s="21"/>
      <c r="K208" s="21"/>
      <c r="L208" s="21"/>
    </row>
    <row r="209" ht="15.75" customHeight="1">
      <c r="J209" s="21"/>
      <c r="K209" s="21"/>
      <c r="L209" s="21"/>
    </row>
    <row r="210" ht="15.75" customHeight="1">
      <c r="J210" s="21"/>
      <c r="K210" s="21"/>
      <c r="L210" s="21"/>
    </row>
    <row r="211" ht="15.75" customHeight="1">
      <c r="J211" s="21"/>
      <c r="K211" s="21"/>
      <c r="L211" s="21"/>
    </row>
    <row r="212" ht="15.75" customHeight="1">
      <c r="J212" s="21"/>
      <c r="K212" s="21"/>
      <c r="L212" s="21"/>
    </row>
    <row r="213" ht="15.75" customHeight="1">
      <c r="J213" s="21"/>
      <c r="K213" s="21"/>
      <c r="L213" s="21"/>
    </row>
    <row r="214" ht="15.75" customHeight="1">
      <c r="J214" s="21"/>
      <c r="K214" s="21"/>
      <c r="L214" s="21"/>
    </row>
    <row r="215" ht="15.75" customHeight="1">
      <c r="J215" s="21"/>
      <c r="K215" s="21"/>
      <c r="L215" s="21"/>
    </row>
    <row r="216" ht="15.75" customHeight="1">
      <c r="J216" s="21"/>
      <c r="K216" s="21"/>
      <c r="L216" s="21"/>
    </row>
    <row r="217" ht="15.75" customHeight="1">
      <c r="J217" s="21"/>
      <c r="K217" s="21"/>
      <c r="L217" s="21"/>
    </row>
    <row r="218" ht="15.75" customHeight="1">
      <c r="J218" s="21"/>
      <c r="K218" s="21"/>
      <c r="L218" s="21"/>
    </row>
    <row r="219" ht="15.75" customHeight="1">
      <c r="J219" s="21"/>
      <c r="K219" s="21"/>
      <c r="L219" s="21"/>
    </row>
    <row r="220" ht="15.75" customHeight="1">
      <c r="J220" s="21"/>
      <c r="K220" s="21"/>
      <c r="L220" s="21"/>
    </row>
    <row r="221" ht="15.75" customHeight="1">
      <c r="J221" s="21"/>
      <c r="K221" s="21"/>
      <c r="L221" s="21"/>
    </row>
    <row r="222" ht="15.75" customHeight="1">
      <c r="J222" s="21"/>
      <c r="K222" s="21"/>
      <c r="L222" s="21"/>
    </row>
    <row r="223" ht="15.75" customHeight="1">
      <c r="J223" s="43"/>
      <c r="K223" s="43"/>
      <c r="L223" s="43"/>
    </row>
    <row r="224" ht="15.75" customHeight="1">
      <c r="J224" s="43"/>
      <c r="K224" s="43"/>
      <c r="L224" s="43"/>
    </row>
    <row r="225" ht="15.75" customHeight="1">
      <c r="J225" s="43"/>
      <c r="K225" s="43"/>
      <c r="L225" s="43"/>
    </row>
    <row r="226" ht="15.75" customHeight="1">
      <c r="J226" s="43"/>
      <c r="K226" s="43"/>
      <c r="L226" s="43"/>
    </row>
    <row r="227" ht="15.75" customHeight="1">
      <c r="J227" s="43"/>
      <c r="K227" s="43"/>
      <c r="L227" s="43"/>
    </row>
    <row r="228" ht="15.75" customHeight="1">
      <c r="J228" s="43"/>
      <c r="K228" s="43"/>
      <c r="L228" s="43"/>
    </row>
    <row r="229" ht="15.75" customHeight="1">
      <c r="J229" s="43"/>
      <c r="K229" s="43"/>
      <c r="L229" s="43"/>
    </row>
    <row r="230" ht="15.75" customHeight="1">
      <c r="J230" s="43"/>
      <c r="K230" s="43"/>
      <c r="L230" s="43"/>
    </row>
    <row r="231" ht="15.75" customHeight="1">
      <c r="J231" s="43"/>
      <c r="K231" s="43"/>
      <c r="L231" s="43"/>
    </row>
    <row r="232" ht="15.75" customHeight="1">
      <c r="J232" s="43"/>
      <c r="K232" s="43"/>
      <c r="L232" s="43"/>
    </row>
    <row r="233" ht="15.75" customHeight="1">
      <c r="J233" s="43"/>
      <c r="K233" s="43"/>
      <c r="L233" s="43"/>
    </row>
    <row r="234" ht="15.75" customHeight="1">
      <c r="J234" s="43"/>
      <c r="K234" s="43"/>
      <c r="L234" s="43"/>
    </row>
    <row r="235" ht="15.75" customHeight="1">
      <c r="J235" s="43"/>
      <c r="K235" s="43"/>
      <c r="L235" s="43"/>
    </row>
    <row r="236" ht="15.75" customHeight="1">
      <c r="J236" s="43"/>
      <c r="K236" s="43"/>
      <c r="L236" s="43"/>
    </row>
    <row r="237" ht="15.75" customHeight="1">
      <c r="J237" s="43"/>
      <c r="K237" s="43"/>
      <c r="L237" s="43"/>
    </row>
    <row r="238" ht="15.75" customHeight="1">
      <c r="J238" s="43"/>
      <c r="K238" s="43"/>
      <c r="L238" s="43"/>
    </row>
    <row r="239" ht="15.75" customHeight="1">
      <c r="J239" s="43"/>
      <c r="K239" s="43"/>
      <c r="L239" s="43"/>
    </row>
    <row r="240" ht="15.75" customHeight="1">
      <c r="J240" s="43"/>
      <c r="K240" s="43"/>
      <c r="L240" s="43"/>
    </row>
    <row r="241" ht="15.75" customHeight="1">
      <c r="J241" s="43"/>
      <c r="K241" s="43"/>
      <c r="L241" s="43"/>
    </row>
    <row r="242" ht="15.75" customHeight="1">
      <c r="J242" s="43"/>
      <c r="K242" s="43"/>
      <c r="L242" s="43"/>
    </row>
    <row r="243" ht="15.75" customHeight="1">
      <c r="J243" s="43"/>
      <c r="K243" s="43"/>
      <c r="L243" s="43"/>
    </row>
    <row r="244" ht="15.75" customHeight="1">
      <c r="J244" s="43"/>
      <c r="K244" s="43"/>
      <c r="L244" s="43"/>
    </row>
    <row r="245" ht="15.75" customHeight="1">
      <c r="J245" s="43"/>
      <c r="K245" s="43"/>
      <c r="L245" s="43"/>
    </row>
    <row r="246" ht="15.75" customHeight="1">
      <c r="J246" s="43"/>
      <c r="K246" s="43"/>
      <c r="L246" s="43"/>
    </row>
    <row r="247" ht="15.75" customHeight="1">
      <c r="J247" s="43"/>
      <c r="K247" s="43"/>
      <c r="L247" s="43"/>
    </row>
    <row r="248" ht="15.75" customHeight="1">
      <c r="J248" s="43"/>
      <c r="K248" s="43"/>
      <c r="L248" s="43"/>
    </row>
    <row r="249" ht="15.75" customHeight="1">
      <c r="J249" s="43"/>
      <c r="K249" s="43"/>
      <c r="L249" s="43"/>
    </row>
    <row r="250" ht="15.75" customHeight="1">
      <c r="J250" s="43"/>
      <c r="K250" s="43"/>
      <c r="L250" s="43"/>
    </row>
    <row r="251" ht="15.75" customHeight="1">
      <c r="J251" s="43"/>
      <c r="K251" s="43"/>
      <c r="L251" s="43"/>
    </row>
    <row r="252" ht="15.75" customHeight="1">
      <c r="J252" s="43"/>
      <c r="K252" s="43"/>
      <c r="L252" s="43"/>
    </row>
    <row r="253" ht="15.75" customHeight="1">
      <c r="J253" s="43"/>
      <c r="K253" s="43"/>
      <c r="L253" s="43"/>
    </row>
    <row r="254" ht="15.75" customHeight="1">
      <c r="J254" s="43"/>
      <c r="K254" s="43"/>
      <c r="L254" s="43"/>
    </row>
    <row r="255" ht="15.75" customHeight="1">
      <c r="J255" s="43"/>
      <c r="K255" s="43"/>
      <c r="L255" s="43"/>
    </row>
    <row r="256" ht="15.75" customHeight="1">
      <c r="J256" s="43"/>
      <c r="K256" s="43"/>
      <c r="L256" s="43"/>
    </row>
    <row r="257" ht="15.75" customHeight="1">
      <c r="J257" s="43"/>
      <c r="K257" s="43"/>
      <c r="L257" s="43"/>
    </row>
    <row r="258" ht="15.75" customHeight="1">
      <c r="J258" s="43"/>
      <c r="K258" s="43"/>
      <c r="L258" s="43"/>
    </row>
    <row r="259" ht="15.75" customHeight="1">
      <c r="J259" s="43"/>
      <c r="K259" s="43"/>
      <c r="L259" s="43"/>
    </row>
    <row r="260" ht="15.75" customHeight="1">
      <c r="J260" s="43"/>
      <c r="K260" s="43"/>
      <c r="L260" s="43"/>
    </row>
    <row r="261" ht="15.75" customHeight="1">
      <c r="J261" s="43"/>
      <c r="K261" s="43"/>
      <c r="L261" s="43"/>
    </row>
    <row r="262" ht="15.75" customHeight="1">
      <c r="J262" s="43"/>
      <c r="K262" s="43"/>
      <c r="L262" s="43"/>
    </row>
    <row r="263" ht="15.75" customHeight="1">
      <c r="J263" s="43"/>
      <c r="K263" s="43"/>
      <c r="L263" s="43"/>
    </row>
    <row r="264" ht="15.75" customHeight="1">
      <c r="J264" s="43"/>
      <c r="K264" s="43"/>
      <c r="L264" s="43"/>
    </row>
    <row r="265" ht="15.75" customHeight="1">
      <c r="J265" s="43"/>
      <c r="K265" s="43"/>
      <c r="L265" s="43"/>
    </row>
    <row r="266" ht="15.75" customHeight="1">
      <c r="J266" s="43"/>
      <c r="K266" s="43"/>
      <c r="L266" s="43"/>
    </row>
    <row r="267" ht="15.75" customHeight="1">
      <c r="J267" s="43"/>
      <c r="K267" s="43"/>
      <c r="L267" s="43"/>
    </row>
    <row r="268" ht="15.75" customHeight="1">
      <c r="J268" s="43"/>
      <c r="K268" s="43"/>
      <c r="L268" s="43"/>
    </row>
    <row r="269" ht="15.75" customHeight="1">
      <c r="J269" s="43"/>
      <c r="K269" s="43"/>
      <c r="L269" s="43"/>
    </row>
    <row r="270" ht="15.75" customHeight="1">
      <c r="J270" s="43"/>
      <c r="K270" s="43"/>
      <c r="L270" s="43"/>
    </row>
    <row r="271" ht="15.75" customHeight="1">
      <c r="J271" s="43"/>
      <c r="K271" s="43"/>
      <c r="L271" s="43"/>
    </row>
    <row r="272" ht="15.75" customHeight="1">
      <c r="J272" s="43"/>
      <c r="K272" s="43"/>
      <c r="L272" s="43"/>
    </row>
    <row r="273" ht="15.75" customHeight="1">
      <c r="J273" s="43"/>
      <c r="K273" s="43"/>
      <c r="L273" s="43"/>
    </row>
    <row r="274" ht="15.75" customHeight="1">
      <c r="J274" s="43"/>
      <c r="K274" s="43"/>
      <c r="L274" s="43"/>
    </row>
    <row r="275" ht="15.75" customHeight="1">
      <c r="J275" s="43"/>
      <c r="K275" s="43"/>
      <c r="L275" s="43"/>
    </row>
    <row r="276" ht="15.75" customHeight="1">
      <c r="J276" s="43"/>
      <c r="K276" s="43"/>
      <c r="L276" s="43"/>
    </row>
    <row r="277" ht="15.75" customHeight="1">
      <c r="J277" s="43"/>
      <c r="K277" s="43"/>
      <c r="L277" s="43"/>
    </row>
    <row r="278" ht="15.75" customHeight="1">
      <c r="J278" s="43"/>
      <c r="K278" s="43"/>
      <c r="L278" s="43"/>
    </row>
    <row r="279" ht="15.75" customHeight="1">
      <c r="J279" s="43"/>
      <c r="K279" s="43"/>
      <c r="L279" s="43"/>
    </row>
    <row r="280" ht="15.75" customHeight="1">
      <c r="J280" s="43"/>
      <c r="K280" s="43"/>
      <c r="L280" s="43"/>
    </row>
    <row r="281" ht="15.75" customHeight="1">
      <c r="J281" s="43"/>
      <c r="K281" s="43"/>
      <c r="L281" s="43"/>
    </row>
    <row r="282" ht="15.75" customHeight="1">
      <c r="J282" s="43"/>
      <c r="K282" s="43"/>
      <c r="L282" s="43"/>
    </row>
    <row r="283" ht="15.75" customHeight="1">
      <c r="J283" s="43"/>
      <c r="K283" s="43"/>
      <c r="L283" s="43"/>
    </row>
    <row r="284" ht="15.75" customHeight="1">
      <c r="J284" s="43"/>
      <c r="K284" s="43"/>
      <c r="L284" s="43"/>
    </row>
    <row r="285" ht="15.75" customHeight="1">
      <c r="J285" s="43"/>
      <c r="K285" s="43"/>
      <c r="L285" s="43"/>
    </row>
    <row r="286" ht="15.75" customHeight="1">
      <c r="J286" s="43"/>
      <c r="K286" s="43"/>
      <c r="L286" s="43"/>
    </row>
    <row r="287" ht="15.75" customHeight="1">
      <c r="J287" s="43"/>
      <c r="K287" s="43"/>
      <c r="L287" s="43"/>
    </row>
    <row r="288" ht="15.75" customHeight="1">
      <c r="J288" s="43"/>
      <c r="K288" s="43"/>
      <c r="L288" s="43"/>
    </row>
    <row r="289" ht="15.75" customHeight="1">
      <c r="J289" s="43"/>
      <c r="K289" s="43"/>
      <c r="L289" s="43"/>
    </row>
    <row r="290" ht="15.75" customHeight="1">
      <c r="J290" s="43"/>
      <c r="K290" s="43"/>
      <c r="L290" s="43"/>
    </row>
    <row r="291" ht="15.75" customHeight="1">
      <c r="J291" s="43"/>
      <c r="K291" s="43"/>
      <c r="L291" s="43"/>
    </row>
    <row r="292" ht="15.75" customHeight="1">
      <c r="J292" s="43"/>
      <c r="K292" s="43"/>
      <c r="L292" s="43"/>
    </row>
    <row r="293" ht="15.75" customHeight="1">
      <c r="J293" s="43"/>
      <c r="K293" s="43"/>
      <c r="L293" s="43"/>
    </row>
    <row r="294" ht="15.75" customHeight="1">
      <c r="J294" s="43"/>
      <c r="K294" s="43"/>
      <c r="L294" s="43"/>
    </row>
    <row r="295" ht="15.75" customHeight="1">
      <c r="J295" s="43"/>
      <c r="K295" s="43"/>
      <c r="L295" s="43"/>
    </row>
    <row r="296" ht="15.75" customHeight="1">
      <c r="J296" s="43"/>
      <c r="K296" s="43"/>
      <c r="L296" s="43"/>
    </row>
    <row r="297" ht="15.75" customHeight="1">
      <c r="J297" s="43"/>
      <c r="K297" s="43"/>
      <c r="L297" s="43"/>
    </row>
    <row r="298" ht="15.75" customHeight="1">
      <c r="J298" s="43"/>
      <c r="K298" s="43"/>
      <c r="L298" s="43"/>
    </row>
    <row r="299" ht="15.75" customHeight="1">
      <c r="J299" s="43"/>
      <c r="K299" s="43"/>
      <c r="L299" s="43"/>
    </row>
    <row r="300" ht="15.75" customHeight="1">
      <c r="J300" s="43"/>
      <c r="K300" s="43"/>
      <c r="L300" s="43"/>
    </row>
    <row r="301" ht="15.75" customHeight="1">
      <c r="J301" s="43"/>
      <c r="K301" s="43"/>
      <c r="L301" s="43"/>
    </row>
    <row r="302" ht="15.75" customHeight="1">
      <c r="J302" s="43"/>
      <c r="K302" s="43"/>
      <c r="L302" s="43"/>
    </row>
    <row r="303" ht="15.75" customHeight="1">
      <c r="J303" s="43"/>
      <c r="K303" s="43"/>
      <c r="L303" s="43"/>
    </row>
    <row r="304" ht="15.75" customHeight="1">
      <c r="J304" s="43"/>
      <c r="K304" s="43"/>
      <c r="L304" s="43"/>
    </row>
    <row r="305" ht="15.75" customHeight="1">
      <c r="J305" s="43"/>
      <c r="K305" s="43"/>
      <c r="L305" s="43"/>
    </row>
    <row r="306" ht="15.75" customHeight="1">
      <c r="J306" s="43"/>
      <c r="K306" s="43"/>
      <c r="L306" s="43"/>
    </row>
    <row r="307" ht="15.75" customHeight="1">
      <c r="J307" s="43"/>
      <c r="K307" s="43"/>
      <c r="L307" s="43"/>
    </row>
    <row r="308" ht="15.75" customHeight="1">
      <c r="J308" s="43"/>
      <c r="K308" s="43"/>
      <c r="L308" s="43"/>
    </row>
    <row r="309" ht="15.75" customHeight="1">
      <c r="J309" s="43"/>
      <c r="K309" s="43"/>
      <c r="L309" s="43"/>
    </row>
    <row r="310" ht="15.75" customHeight="1">
      <c r="J310" s="43"/>
      <c r="K310" s="43"/>
      <c r="L310" s="43"/>
    </row>
    <row r="311" ht="15.75" customHeight="1">
      <c r="J311" s="43"/>
      <c r="K311" s="43"/>
      <c r="L311" s="43"/>
    </row>
    <row r="312" ht="15.75" customHeight="1">
      <c r="J312" s="43"/>
      <c r="K312" s="43"/>
      <c r="L312" s="43"/>
    </row>
    <row r="313" ht="15.75" customHeight="1">
      <c r="J313" s="43"/>
      <c r="K313" s="43"/>
      <c r="L313" s="43"/>
    </row>
    <row r="314" ht="15.75" customHeight="1">
      <c r="J314" s="43"/>
      <c r="K314" s="43"/>
      <c r="L314" s="43"/>
    </row>
    <row r="315" ht="15.75" customHeight="1">
      <c r="J315" s="43"/>
      <c r="K315" s="43"/>
      <c r="L315" s="43"/>
    </row>
    <row r="316" ht="15.75" customHeight="1">
      <c r="J316" s="43"/>
      <c r="K316" s="43"/>
      <c r="L316" s="43"/>
    </row>
    <row r="317" ht="15.75" customHeight="1">
      <c r="J317" s="43"/>
      <c r="K317" s="43"/>
      <c r="L317" s="43"/>
    </row>
    <row r="318" ht="15.75" customHeight="1">
      <c r="J318" s="43"/>
      <c r="K318" s="43"/>
      <c r="L318" s="43"/>
    </row>
    <row r="319" ht="15.75" customHeight="1">
      <c r="J319" s="43"/>
      <c r="K319" s="43"/>
      <c r="L319" s="43"/>
    </row>
    <row r="320" ht="15.75" customHeight="1">
      <c r="J320" s="43"/>
      <c r="K320" s="43"/>
      <c r="L320" s="43"/>
    </row>
    <row r="321" ht="15.75" customHeight="1">
      <c r="J321" s="43"/>
      <c r="K321" s="43"/>
      <c r="L321" s="43"/>
    </row>
    <row r="322" ht="15.75" customHeight="1">
      <c r="J322" s="43"/>
      <c r="K322" s="43"/>
      <c r="L322" s="43"/>
    </row>
    <row r="323" ht="15.75" customHeight="1">
      <c r="J323" s="43"/>
      <c r="K323" s="43"/>
      <c r="L323" s="43"/>
    </row>
    <row r="324" ht="15.75" customHeight="1">
      <c r="J324" s="43"/>
      <c r="K324" s="43"/>
      <c r="L324" s="43"/>
    </row>
    <row r="325" ht="15.75" customHeight="1">
      <c r="J325" s="43"/>
      <c r="K325" s="43"/>
      <c r="L325" s="43"/>
    </row>
    <row r="326" ht="15.75" customHeight="1">
      <c r="J326" s="43"/>
      <c r="K326" s="43"/>
      <c r="L326" s="43"/>
    </row>
    <row r="327" ht="15.75" customHeight="1">
      <c r="J327" s="43"/>
      <c r="K327" s="43"/>
      <c r="L327" s="43"/>
    </row>
    <row r="328" ht="15.75" customHeight="1">
      <c r="J328" s="43"/>
      <c r="K328" s="43"/>
      <c r="L328" s="43"/>
    </row>
    <row r="329" ht="15.75" customHeight="1">
      <c r="J329" s="43"/>
      <c r="K329" s="43"/>
      <c r="L329" s="43"/>
    </row>
    <row r="330" ht="15.75" customHeight="1">
      <c r="J330" s="43"/>
      <c r="K330" s="43"/>
      <c r="L330" s="43"/>
    </row>
    <row r="331" ht="15.75" customHeight="1">
      <c r="J331" s="43"/>
      <c r="K331" s="43"/>
      <c r="L331" s="43"/>
    </row>
    <row r="332" ht="15.75" customHeight="1">
      <c r="J332" s="43"/>
      <c r="K332" s="43"/>
      <c r="L332" s="43"/>
    </row>
    <row r="333" ht="15.75" customHeight="1">
      <c r="J333" s="43"/>
      <c r="K333" s="43"/>
      <c r="L333" s="43"/>
    </row>
    <row r="334" ht="15.75" customHeight="1">
      <c r="J334" s="43"/>
      <c r="K334" s="43"/>
      <c r="L334" s="43"/>
    </row>
    <row r="335" ht="15.75" customHeight="1">
      <c r="J335" s="43"/>
      <c r="K335" s="43"/>
      <c r="L335" s="43"/>
    </row>
    <row r="336" ht="15.75" customHeight="1">
      <c r="J336" s="43"/>
      <c r="K336" s="43"/>
      <c r="L336" s="43"/>
    </row>
    <row r="337" ht="15.75" customHeight="1">
      <c r="J337" s="43"/>
      <c r="K337" s="43"/>
      <c r="L337" s="43"/>
    </row>
    <row r="338" ht="15.75" customHeight="1">
      <c r="J338" s="43"/>
      <c r="K338" s="43"/>
      <c r="L338" s="43"/>
    </row>
    <row r="339" ht="15.75" customHeight="1">
      <c r="J339" s="43"/>
      <c r="K339" s="43"/>
      <c r="L339" s="43"/>
    </row>
    <row r="340" ht="15.75" customHeight="1">
      <c r="J340" s="43"/>
      <c r="K340" s="43"/>
      <c r="L340" s="43"/>
    </row>
    <row r="341" ht="15.75" customHeight="1">
      <c r="J341" s="43"/>
      <c r="K341" s="43"/>
      <c r="L341" s="43"/>
    </row>
    <row r="342" ht="15.75" customHeight="1">
      <c r="J342" s="43"/>
      <c r="K342" s="43"/>
      <c r="L342" s="43"/>
    </row>
    <row r="343" ht="15.75" customHeight="1">
      <c r="J343" s="43"/>
      <c r="K343" s="43"/>
      <c r="L343" s="43"/>
    </row>
    <row r="344" ht="15.75" customHeight="1">
      <c r="J344" s="43"/>
      <c r="K344" s="43"/>
      <c r="L344" s="43"/>
    </row>
    <row r="345" ht="15.75" customHeight="1">
      <c r="J345" s="43"/>
      <c r="K345" s="43"/>
      <c r="L345" s="43"/>
    </row>
    <row r="346" ht="15.75" customHeight="1">
      <c r="J346" s="43"/>
      <c r="K346" s="43"/>
      <c r="L346" s="43"/>
    </row>
    <row r="347" ht="15.75" customHeight="1">
      <c r="J347" s="43"/>
      <c r="K347" s="43"/>
      <c r="L347" s="43"/>
    </row>
    <row r="348" ht="15.75" customHeight="1">
      <c r="J348" s="43"/>
      <c r="K348" s="43"/>
      <c r="L348" s="43"/>
    </row>
    <row r="349" ht="15.75" customHeight="1">
      <c r="J349" s="43"/>
      <c r="K349" s="43"/>
      <c r="L349" s="43"/>
    </row>
    <row r="350" ht="15.75" customHeight="1">
      <c r="J350" s="43"/>
      <c r="K350" s="43"/>
      <c r="L350" s="43"/>
    </row>
    <row r="351" ht="15.75" customHeight="1">
      <c r="J351" s="43"/>
      <c r="K351" s="43"/>
      <c r="L351" s="43"/>
    </row>
    <row r="352" ht="15.75" customHeight="1">
      <c r="J352" s="43"/>
      <c r="K352" s="43"/>
      <c r="L352" s="43"/>
    </row>
    <row r="353" ht="15.75" customHeight="1">
      <c r="J353" s="43"/>
      <c r="K353" s="43"/>
      <c r="L353" s="43"/>
    </row>
    <row r="354" ht="15.75" customHeight="1">
      <c r="J354" s="43"/>
      <c r="K354" s="43"/>
      <c r="L354" s="43"/>
    </row>
    <row r="355" ht="15.75" customHeight="1">
      <c r="J355" s="43"/>
      <c r="K355" s="43"/>
      <c r="L355" s="43"/>
    </row>
    <row r="356" ht="15.75" customHeight="1">
      <c r="J356" s="43"/>
      <c r="K356" s="43"/>
      <c r="L356" s="43"/>
    </row>
    <row r="357" ht="15.75" customHeight="1">
      <c r="J357" s="43"/>
      <c r="K357" s="43"/>
      <c r="L357" s="43"/>
    </row>
    <row r="358" ht="15.75" customHeight="1">
      <c r="J358" s="43"/>
      <c r="K358" s="43"/>
      <c r="L358" s="43"/>
    </row>
    <row r="359" ht="15.75" customHeight="1">
      <c r="J359" s="43"/>
      <c r="K359" s="43"/>
      <c r="L359" s="43"/>
    </row>
    <row r="360" ht="15.75" customHeight="1">
      <c r="J360" s="43"/>
      <c r="K360" s="43"/>
      <c r="L360" s="43"/>
    </row>
    <row r="361" ht="15.75" customHeight="1">
      <c r="J361" s="43"/>
      <c r="K361" s="43"/>
      <c r="L361" s="43"/>
    </row>
    <row r="362" ht="15.75" customHeight="1">
      <c r="J362" s="43"/>
      <c r="K362" s="43"/>
      <c r="L362" s="43"/>
    </row>
    <row r="363" ht="15.75" customHeight="1">
      <c r="J363" s="43"/>
      <c r="K363" s="43"/>
      <c r="L363" s="43"/>
    </row>
    <row r="364" ht="15.75" customHeight="1">
      <c r="J364" s="43"/>
      <c r="K364" s="43"/>
      <c r="L364" s="43"/>
    </row>
    <row r="365" ht="15.75" customHeight="1">
      <c r="J365" s="43"/>
      <c r="K365" s="43"/>
      <c r="L365" s="43"/>
    </row>
    <row r="366" ht="15.75" customHeight="1">
      <c r="J366" s="43"/>
      <c r="K366" s="43"/>
      <c r="L366" s="43"/>
    </row>
    <row r="367" ht="15.75" customHeight="1">
      <c r="J367" s="43"/>
      <c r="K367" s="43"/>
      <c r="L367" s="43"/>
    </row>
    <row r="368" ht="15.75" customHeight="1">
      <c r="J368" s="43"/>
      <c r="K368" s="43"/>
      <c r="L368" s="43"/>
    </row>
    <row r="369" ht="15.75" customHeight="1">
      <c r="J369" s="43"/>
      <c r="K369" s="43"/>
      <c r="L369" s="43"/>
    </row>
    <row r="370" ht="15.75" customHeight="1">
      <c r="J370" s="43"/>
      <c r="K370" s="43"/>
      <c r="L370" s="43"/>
    </row>
    <row r="371" ht="15.75" customHeight="1">
      <c r="J371" s="43"/>
      <c r="K371" s="43"/>
      <c r="L371" s="43"/>
    </row>
    <row r="372" ht="15.75" customHeight="1">
      <c r="J372" s="43"/>
      <c r="K372" s="43"/>
      <c r="L372" s="43"/>
    </row>
    <row r="373" ht="15.75" customHeight="1">
      <c r="J373" s="43"/>
      <c r="K373" s="43"/>
      <c r="L373" s="43"/>
    </row>
    <row r="374" ht="15.75" customHeight="1">
      <c r="J374" s="43"/>
      <c r="K374" s="43"/>
      <c r="L374" s="43"/>
    </row>
    <row r="375" ht="15.75" customHeight="1">
      <c r="J375" s="43"/>
      <c r="K375" s="43"/>
      <c r="L375" s="43"/>
    </row>
    <row r="376" ht="15.75" customHeight="1">
      <c r="J376" s="43"/>
      <c r="K376" s="43"/>
      <c r="L376" s="43"/>
    </row>
    <row r="377" ht="15.75" customHeight="1">
      <c r="J377" s="43"/>
      <c r="K377" s="43"/>
      <c r="L377" s="43"/>
    </row>
    <row r="378" ht="15.75" customHeight="1">
      <c r="J378" s="43"/>
      <c r="K378" s="43"/>
      <c r="L378" s="43"/>
    </row>
    <row r="379" ht="15.75" customHeight="1">
      <c r="J379" s="43"/>
      <c r="K379" s="43"/>
      <c r="L379" s="43"/>
    </row>
    <row r="380" ht="15.75" customHeight="1">
      <c r="J380" s="43"/>
      <c r="K380" s="43"/>
      <c r="L380" s="43"/>
    </row>
    <row r="381" ht="15.75" customHeight="1">
      <c r="J381" s="43"/>
      <c r="K381" s="43"/>
      <c r="L381" s="43"/>
    </row>
    <row r="382" ht="15.75" customHeight="1">
      <c r="J382" s="43"/>
      <c r="K382" s="43"/>
      <c r="L382" s="43"/>
    </row>
    <row r="383" ht="15.75" customHeight="1">
      <c r="J383" s="43"/>
      <c r="K383" s="43"/>
      <c r="L383" s="43"/>
    </row>
    <row r="384" ht="15.75" customHeight="1">
      <c r="J384" s="43"/>
      <c r="K384" s="43"/>
      <c r="L384" s="43"/>
    </row>
    <row r="385" ht="15.75" customHeight="1">
      <c r="J385" s="43"/>
      <c r="K385" s="43"/>
      <c r="L385" s="43"/>
    </row>
    <row r="386" ht="15.75" customHeight="1">
      <c r="J386" s="43"/>
      <c r="K386" s="43"/>
      <c r="L386" s="43"/>
    </row>
    <row r="387" ht="15.75" customHeight="1">
      <c r="J387" s="43"/>
      <c r="K387" s="43"/>
      <c r="L387" s="43"/>
    </row>
    <row r="388" ht="15.75" customHeight="1">
      <c r="J388" s="43"/>
      <c r="K388" s="43"/>
      <c r="L388" s="43"/>
    </row>
    <row r="389" ht="15.75" customHeight="1">
      <c r="J389" s="43"/>
      <c r="K389" s="43"/>
      <c r="L389" s="43"/>
    </row>
    <row r="390" ht="15.75" customHeight="1">
      <c r="J390" s="43"/>
      <c r="K390" s="43"/>
      <c r="L390" s="43"/>
    </row>
    <row r="391" ht="15.75" customHeight="1">
      <c r="J391" s="43"/>
      <c r="K391" s="43"/>
      <c r="L391" s="43"/>
    </row>
    <row r="392" ht="15.75" customHeight="1">
      <c r="J392" s="43"/>
      <c r="K392" s="43"/>
      <c r="L392" s="43"/>
    </row>
    <row r="393" ht="15.75" customHeight="1">
      <c r="J393" s="43"/>
      <c r="K393" s="43"/>
      <c r="L393" s="43"/>
    </row>
    <row r="394" ht="15.75" customHeight="1">
      <c r="J394" s="43"/>
      <c r="K394" s="43"/>
      <c r="L394" s="43"/>
    </row>
    <row r="395" ht="15.75" customHeight="1">
      <c r="J395" s="43"/>
      <c r="K395" s="43"/>
      <c r="L395" s="43"/>
    </row>
    <row r="396" ht="15.75" customHeight="1">
      <c r="J396" s="43"/>
      <c r="K396" s="43"/>
      <c r="L396" s="43"/>
    </row>
    <row r="397" ht="15.75" customHeight="1">
      <c r="J397" s="43"/>
      <c r="K397" s="43"/>
      <c r="L397" s="43"/>
    </row>
    <row r="398" ht="15.75" customHeight="1">
      <c r="J398" s="43"/>
      <c r="K398" s="43"/>
      <c r="L398" s="43"/>
    </row>
    <row r="399" ht="15.75" customHeight="1">
      <c r="J399" s="43"/>
      <c r="K399" s="43"/>
      <c r="L399" s="43"/>
    </row>
    <row r="400" ht="15.75" customHeight="1">
      <c r="J400" s="43"/>
      <c r="K400" s="43"/>
      <c r="L400" s="43"/>
    </row>
    <row r="401" ht="15.75" customHeight="1">
      <c r="J401" s="43"/>
      <c r="K401" s="43"/>
      <c r="L401" s="43"/>
    </row>
    <row r="402" ht="15.75" customHeight="1">
      <c r="J402" s="43"/>
      <c r="K402" s="43"/>
      <c r="L402" s="43"/>
    </row>
    <row r="403" ht="15.75" customHeight="1">
      <c r="J403" s="43"/>
      <c r="K403" s="43"/>
      <c r="L403" s="43"/>
    </row>
    <row r="404" ht="15.75" customHeight="1">
      <c r="J404" s="43"/>
      <c r="K404" s="43"/>
      <c r="L404" s="43"/>
    </row>
    <row r="405" ht="15.75" customHeight="1">
      <c r="J405" s="43"/>
      <c r="K405" s="43"/>
      <c r="L405" s="43"/>
    </row>
    <row r="406" ht="15.75" customHeight="1">
      <c r="J406" s="43"/>
      <c r="K406" s="43"/>
      <c r="L406" s="43"/>
    </row>
    <row r="407" ht="15.75" customHeight="1">
      <c r="J407" s="43"/>
      <c r="K407" s="43"/>
      <c r="L407" s="43"/>
    </row>
    <row r="408" ht="15.75" customHeight="1">
      <c r="J408" s="43"/>
      <c r="K408" s="43"/>
      <c r="L408" s="43"/>
    </row>
    <row r="409" ht="15.75" customHeight="1">
      <c r="J409" s="43"/>
      <c r="K409" s="43"/>
      <c r="L409" s="43"/>
    </row>
    <row r="410" ht="15.75" customHeight="1">
      <c r="J410" s="43"/>
      <c r="K410" s="43"/>
      <c r="L410" s="43"/>
    </row>
    <row r="411" ht="15.75" customHeight="1">
      <c r="J411" s="43"/>
      <c r="K411" s="43"/>
      <c r="L411" s="43"/>
    </row>
    <row r="412" ht="15.75" customHeight="1">
      <c r="J412" s="43"/>
      <c r="K412" s="43"/>
      <c r="L412" s="43"/>
    </row>
    <row r="413" ht="15.75" customHeight="1">
      <c r="J413" s="43"/>
      <c r="K413" s="43"/>
      <c r="L413" s="43"/>
    </row>
    <row r="414" ht="15.75" customHeight="1">
      <c r="J414" s="43"/>
      <c r="K414" s="43"/>
      <c r="L414" s="43"/>
    </row>
    <row r="415" ht="15.75" customHeight="1">
      <c r="J415" s="43"/>
      <c r="K415" s="43"/>
      <c r="L415" s="43"/>
    </row>
    <row r="416" ht="15.75" customHeight="1">
      <c r="J416" s="43"/>
      <c r="K416" s="43"/>
      <c r="L416" s="43"/>
    </row>
    <row r="417" ht="15.75" customHeight="1">
      <c r="J417" s="43"/>
      <c r="K417" s="43"/>
      <c r="L417" s="43"/>
    </row>
    <row r="418" ht="15.75" customHeight="1">
      <c r="J418" s="43"/>
      <c r="K418" s="43"/>
      <c r="L418" s="43"/>
    </row>
    <row r="419" ht="15.75" customHeight="1">
      <c r="J419" s="43"/>
      <c r="K419" s="43"/>
      <c r="L419" s="43"/>
    </row>
    <row r="420" ht="15.75" customHeight="1">
      <c r="J420" s="43"/>
      <c r="K420" s="43"/>
      <c r="L420" s="43"/>
    </row>
    <row r="421" ht="15.75" customHeight="1">
      <c r="J421" s="43"/>
      <c r="K421" s="43"/>
      <c r="L421" s="43"/>
    </row>
    <row r="422" ht="15.75" customHeight="1">
      <c r="J422" s="43"/>
      <c r="K422" s="43"/>
      <c r="L422" s="43"/>
    </row>
    <row r="423" ht="15.75" customHeight="1">
      <c r="J423" s="43"/>
      <c r="K423" s="43"/>
      <c r="L423" s="43"/>
    </row>
    <row r="424" ht="15.75" customHeight="1">
      <c r="J424" s="43"/>
      <c r="K424" s="43"/>
      <c r="L424" s="43"/>
    </row>
    <row r="425" ht="15.75" customHeight="1">
      <c r="J425" s="43"/>
      <c r="K425" s="43"/>
      <c r="L425" s="43"/>
    </row>
    <row r="426" ht="15.75" customHeight="1">
      <c r="J426" s="43"/>
      <c r="K426" s="43"/>
      <c r="L426" s="43"/>
    </row>
    <row r="427" ht="15.75" customHeight="1">
      <c r="J427" s="43"/>
      <c r="K427" s="43"/>
      <c r="L427" s="43"/>
    </row>
    <row r="428" ht="15.75" customHeight="1">
      <c r="J428" s="43"/>
      <c r="K428" s="43"/>
      <c r="L428" s="43"/>
    </row>
    <row r="429" ht="15.75" customHeight="1">
      <c r="J429" s="43"/>
      <c r="K429" s="43"/>
      <c r="L429" s="43"/>
    </row>
    <row r="430" ht="15.75" customHeight="1">
      <c r="J430" s="43"/>
      <c r="K430" s="43"/>
      <c r="L430" s="43"/>
    </row>
    <row r="431" ht="15.75" customHeight="1">
      <c r="J431" s="43"/>
      <c r="K431" s="43"/>
      <c r="L431" s="43"/>
    </row>
    <row r="432" ht="15.75" customHeight="1">
      <c r="J432" s="43"/>
      <c r="K432" s="43"/>
      <c r="L432" s="43"/>
    </row>
    <row r="433" ht="15.75" customHeight="1">
      <c r="J433" s="43"/>
      <c r="K433" s="43"/>
      <c r="L433" s="43"/>
    </row>
    <row r="434" ht="15.75" customHeight="1">
      <c r="J434" s="43"/>
      <c r="K434" s="43"/>
      <c r="L434" s="43"/>
    </row>
    <row r="435" ht="15.75" customHeight="1">
      <c r="J435" s="43"/>
      <c r="K435" s="43"/>
      <c r="L435" s="43"/>
    </row>
    <row r="436" ht="15.75" customHeight="1">
      <c r="J436" s="43"/>
      <c r="K436" s="43"/>
      <c r="L436" s="43"/>
    </row>
    <row r="437" ht="15.75" customHeight="1">
      <c r="J437" s="43"/>
      <c r="K437" s="43"/>
      <c r="L437" s="43"/>
    </row>
    <row r="438" ht="15.75" customHeight="1">
      <c r="J438" s="43"/>
      <c r="K438" s="43"/>
      <c r="L438" s="43"/>
    </row>
    <row r="439" ht="15.75" customHeight="1">
      <c r="J439" s="43"/>
      <c r="K439" s="43"/>
      <c r="L439" s="43"/>
    </row>
    <row r="440" ht="15.75" customHeight="1">
      <c r="J440" s="43"/>
      <c r="K440" s="43"/>
      <c r="L440" s="43"/>
    </row>
    <row r="441" ht="15.75" customHeight="1">
      <c r="J441" s="43"/>
      <c r="K441" s="43"/>
      <c r="L441" s="43"/>
    </row>
    <row r="442" ht="15.75" customHeight="1">
      <c r="J442" s="43"/>
      <c r="K442" s="43"/>
      <c r="L442" s="43"/>
    </row>
    <row r="443" ht="15.75" customHeight="1">
      <c r="J443" s="43"/>
      <c r="K443" s="43"/>
      <c r="L443" s="43"/>
    </row>
    <row r="444" ht="15.75" customHeight="1">
      <c r="J444" s="43"/>
      <c r="K444" s="43"/>
      <c r="L444" s="43"/>
    </row>
    <row r="445" ht="15.75" customHeight="1">
      <c r="J445" s="43"/>
      <c r="K445" s="43"/>
      <c r="L445" s="43"/>
    </row>
    <row r="446" ht="15.75" customHeight="1">
      <c r="J446" s="43"/>
      <c r="K446" s="43"/>
      <c r="L446" s="43"/>
    </row>
    <row r="447" ht="15.75" customHeight="1">
      <c r="J447" s="43"/>
      <c r="K447" s="43"/>
      <c r="L447" s="43"/>
    </row>
    <row r="448" ht="15.75" customHeight="1">
      <c r="J448" s="43"/>
      <c r="K448" s="43"/>
      <c r="L448" s="43"/>
    </row>
    <row r="449" ht="15.75" customHeight="1">
      <c r="J449" s="43"/>
      <c r="K449" s="43"/>
      <c r="L449" s="43"/>
    </row>
    <row r="450" ht="15.75" customHeight="1">
      <c r="J450" s="43"/>
      <c r="K450" s="43"/>
      <c r="L450" s="43"/>
    </row>
    <row r="451" ht="15.75" customHeight="1">
      <c r="J451" s="43"/>
      <c r="K451" s="43"/>
      <c r="L451" s="43"/>
    </row>
    <row r="452" ht="15.75" customHeight="1">
      <c r="J452" s="43"/>
      <c r="K452" s="43"/>
      <c r="L452" s="43"/>
    </row>
    <row r="453" ht="15.75" customHeight="1">
      <c r="J453" s="43"/>
      <c r="K453" s="43"/>
      <c r="L453" s="43"/>
    </row>
    <row r="454" ht="15.75" customHeight="1">
      <c r="J454" s="43"/>
      <c r="K454" s="43"/>
      <c r="L454" s="43"/>
    </row>
    <row r="455" ht="15.75" customHeight="1">
      <c r="J455" s="43"/>
      <c r="K455" s="43"/>
      <c r="L455" s="43"/>
    </row>
    <row r="456" ht="15.75" customHeight="1">
      <c r="J456" s="43"/>
      <c r="K456" s="43"/>
      <c r="L456" s="43"/>
    </row>
    <row r="457" ht="15.75" customHeight="1">
      <c r="J457" s="43"/>
      <c r="K457" s="43"/>
      <c r="L457" s="43"/>
    </row>
    <row r="458" ht="15.75" customHeight="1">
      <c r="J458" s="43"/>
      <c r="K458" s="43"/>
      <c r="L458" s="43"/>
    </row>
    <row r="459" ht="15.75" customHeight="1">
      <c r="J459" s="43"/>
      <c r="K459" s="43"/>
      <c r="L459" s="43"/>
    </row>
    <row r="460" ht="15.75" customHeight="1">
      <c r="J460" s="43"/>
      <c r="K460" s="43"/>
      <c r="L460" s="43"/>
    </row>
    <row r="461" ht="15.75" customHeight="1">
      <c r="J461" s="43"/>
      <c r="K461" s="43"/>
      <c r="L461" s="43"/>
    </row>
    <row r="462" ht="15.75" customHeight="1">
      <c r="J462" s="43"/>
      <c r="K462" s="43"/>
      <c r="L462" s="43"/>
    </row>
    <row r="463" ht="15.75" customHeight="1">
      <c r="J463" s="43"/>
      <c r="K463" s="43"/>
      <c r="L463" s="43"/>
    </row>
    <row r="464" ht="15.75" customHeight="1">
      <c r="J464" s="43"/>
      <c r="K464" s="43"/>
      <c r="L464" s="43"/>
    </row>
    <row r="465" ht="15.75" customHeight="1">
      <c r="J465" s="43"/>
      <c r="K465" s="43"/>
      <c r="L465" s="43"/>
    </row>
    <row r="466" ht="15.75" customHeight="1">
      <c r="J466" s="43"/>
      <c r="K466" s="43"/>
      <c r="L466" s="43"/>
    </row>
    <row r="467" ht="15.75" customHeight="1">
      <c r="J467" s="43"/>
      <c r="K467" s="43"/>
      <c r="L467" s="43"/>
    </row>
    <row r="468" ht="15.75" customHeight="1">
      <c r="J468" s="43"/>
      <c r="K468" s="43"/>
      <c r="L468" s="43"/>
    </row>
    <row r="469" ht="15.75" customHeight="1">
      <c r="J469" s="43"/>
      <c r="K469" s="43"/>
      <c r="L469" s="43"/>
    </row>
    <row r="470" ht="15.75" customHeight="1">
      <c r="J470" s="43"/>
      <c r="K470" s="43"/>
      <c r="L470" s="43"/>
    </row>
    <row r="471" ht="15.75" customHeight="1">
      <c r="J471" s="43"/>
      <c r="K471" s="43"/>
      <c r="L471" s="43"/>
    </row>
    <row r="472" ht="15.75" customHeight="1">
      <c r="J472" s="43"/>
      <c r="K472" s="43"/>
      <c r="L472" s="43"/>
    </row>
    <row r="473" ht="15.75" customHeight="1">
      <c r="J473" s="43"/>
      <c r="K473" s="43"/>
      <c r="L473" s="43"/>
    </row>
    <row r="474" ht="15.75" customHeight="1">
      <c r="J474" s="43"/>
      <c r="K474" s="43"/>
      <c r="L474" s="43"/>
    </row>
    <row r="475" ht="15.75" customHeight="1">
      <c r="J475" s="43"/>
      <c r="K475" s="43"/>
      <c r="L475" s="43"/>
    </row>
    <row r="476" ht="15.75" customHeight="1">
      <c r="J476" s="43"/>
      <c r="K476" s="43"/>
      <c r="L476" s="43"/>
    </row>
    <row r="477" ht="15.75" customHeight="1">
      <c r="J477" s="43"/>
      <c r="K477" s="43"/>
      <c r="L477" s="43"/>
    </row>
    <row r="478" ht="15.75" customHeight="1">
      <c r="J478" s="43"/>
      <c r="K478" s="43"/>
      <c r="L478" s="43"/>
    </row>
    <row r="479" ht="15.75" customHeight="1">
      <c r="J479" s="43"/>
      <c r="K479" s="43"/>
      <c r="L479" s="43"/>
    </row>
    <row r="480" ht="15.75" customHeight="1">
      <c r="J480" s="43"/>
      <c r="K480" s="43"/>
      <c r="L480" s="43"/>
    </row>
    <row r="481" ht="15.75" customHeight="1">
      <c r="J481" s="43"/>
      <c r="K481" s="43"/>
      <c r="L481" s="43"/>
    </row>
    <row r="482" ht="15.75" customHeight="1">
      <c r="J482" s="43"/>
      <c r="K482" s="43"/>
      <c r="L482" s="43"/>
    </row>
    <row r="483" ht="15.75" customHeight="1">
      <c r="J483" s="43"/>
      <c r="K483" s="43"/>
      <c r="L483" s="43"/>
    </row>
    <row r="484" ht="15.75" customHeight="1">
      <c r="J484" s="43"/>
      <c r="K484" s="43"/>
      <c r="L484" s="43"/>
    </row>
    <row r="485" ht="15.75" customHeight="1">
      <c r="J485" s="43"/>
      <c r="K485" s="43"/>
      <c r="L485" s="43"/>
    </row>
    <row r="486" ht="15.75" customHeight="1">
      <c r="J486" s="43"/>
      <c r="K486" s="43"/>
      <c r="L486" s="43"/>
    </row>
    <row r="487" ht="15.75" customHeight="1">
      <c r="J487" s="43"/>
      <c r="K487" s="43"/>
      <c r="L487" s="43"/>
    </row>
    <row r="488" ht="15.75" customHeight="1">
      <c r="J488" s="43"/>
      <c r="K488" s="43"/>
      <c r="L488" s="43"/>
    </row>
    <row r="489" ht="15.75" customHeight="1">
      <c r="J489" s="43"/>
      <c r="K489" s="43"/>
      <c r="L489" s="43"/>
    </row>
    <row r="490" ht="15.75" customHeight="1">
      <c r="J490" s="43"/>
      <c r="K490" s="43"/>
      <c r="L490" s="43"/>
    </row>
    <row r="491" ht="15.75" customHeight="1">
      <c r="J491" s="43"/>
      <c r="K491" s="43"/>
      <c r="L491" s="43"/>
    </row>
    <row r="492" ht="15.75" customHeight="1">
      <c r="J492" s="43"/>
      <c r="K492" s="43"/>
      <c r="L492" s="43"/>
    </row>
    <row r="493" ht="15.75" customHeight="1">
      <c r="J493" s="43"/>
      <c r="K493" s="43"/>
      <c r="L493" s="43"/>
    </row>
    <row r="494" ht="15.75" customHeight="1">
      <c r="J494" s="43"/>
      <c r="K494" s="43"/>
      <c r="L494" s="43"/>
    </row>
    <row r="495" ht="15.75" customHeight="1">
      <c r="J495" s="43"/>
      <c r="K495" s="43"/>
      <c r="L495" s="43"/>
    </row>
    <row r="496" ht="15.75" customHeight="1">
      <c r="J496" s="43"/>
      <c r="K496" s="43"/>
      <c r="L496" s="43"/>
    </row>
    <row r="497" ht="15.75" customHeight="1">
      <c r="J497" s="43"/>
      <c r="K497" s="43"/>
      <c r="L497" s="43"/>
    </row>
    <row r="498" ht="15.75" customHeight="1">
      <c r="J498" s="43"/>
      <c r="K498" s="43"/>
      <c r="L498" s="43"/>
    </row>
    <row r="499" ht="15.75" customHeight="1">
      <c r="J499" s="43"/>
      <c r="K499" s="43"/>
      <c r="L499" s="43"/>
    </row>
    <row r="500" ht="15.75" customHeight="1">
      <c r="J500" s="43"/>
      <c r="K500" s="43"/>
      <c r="L500" s="43"/>
    </row>
    <row r="501" ht="15.75" customHeight="1">
      <c r="J501" s="43"/>
      <c r="K501" s="43"/>
      <c r="L501" s="43"/>
    </row>
    <row r="502" ht="15.75" customHeight="1">
      <c r="J502" s="43"/>
      <c r="K502" s="43"/>
      <c r="L502" s="43"/>
    </row>
    <row r="503" ht="15.75" customHeight="1">
      <c r="J503" s="43"/>
      <c r="K503" s="43"/>
      <c r="L503" s="43"/>
    </row>
    <row r="504" ht="15.75" customHeight="1">
      <c r="J504" s="43"/>
      <c r="K504" s="43"/>
      <c r="L504" s="43"/>
    </row>
    <row r="505" ht="15.75" customHeight="1">
      <c r="J505" s="43"/>
      <c r="K505" s="43"/>
      <c r="L505" s="43"/>
    </row>
    <row r="506" ht="15.75" customHeight="1">
      <c r="J506" s="43"/>
      <c r="K506" s="43"/>
      <c r="L506" s="43"/>
    </row>
    <row r="507" ht="15.75" customHeight="1">
      <c r="J507" s="43"/>
      <c r="K507" s="43"/>
      <c r="L507" s="43"/>
    </row>
    <row r="508" ht="15.75" customHeight="1">
      <c r="J508" s="43"/>
      <c r="K508" s="43"/>
      <c r="L508" s="43"/>
    </row>
    <row r="509" ht="15.75" customHeight="1">
      <c r="J509" s="43"/>
      <c r="K509" s="43"/>
      <c r="L509" s="43"/>
    </row>
    <row r="510" ht="15.75" customHeight="1">
      <c r="J510" s="43"/>
      <c r="K510" s="43"/>
      <c r="L510" s="43"/>
    </row>
    <row r="511" ht="15.75" customHeight="1">
      <c r="J511" s="43"/>
      <c r="K511" s="43"/>
      <c r="L511" s="43"/>
    </row>
    <row r="512" ht="15.75" customHeight="1">
      <c r="J512" s="43"/>
      <c r="K512" s="43"/>
      <c r="L512" s="43"/>
    </row>
    <row r="513" ht="15.75" customHeight="1">
      <c r="J513" s="43"/>
      <c r="K513" s="43"/>
      <c r="L513" s="43"/>
    </row>
    <row r="514" ht="15.75" customHeight="1">
      <c r="J514" s="43"/>
      <c r="K514" s="43"/>
      <c r="L514" s="43"/>
    </row>
    <row r="515" ht="15.75" customHeight="1">
      <c r="J515" s="43"/>
      <c r="K515" s="43"/>
      <c r="L515" s="43"/>
    </row>
    <row r="516" ht="15.75" customHeight="1">
      <c r="J516" s="43"/>
      <c r="K516" s="43"/>
      <c r="L516" s="43"/>
    </row>
    <row r="517" ht="15.75" customHeight="1">
      <c r="J517" s="43"/>
      <c r="K517" s="43"/>
      <c r="L517" s="43"/>
    </row>
    <row r="518" ht="15.75" customHeight="1">
      <c r="J518" s="43"/>
      <c r="K518" s="43"/>
      <c r="L518" s="43"/>
    </row>
    <row r="519" ht="15.75" customHeight="1">
      <c r="J519" s="43"/>
      <c r="K519" s="43"/>
      <c r="L519" s="43"/>
    </row>
    <row r="520" ht="15.75" customHeight="1">
      <c r="J520" s="43"/>
      <c r="K520" s="43"/>
      <c r="L520" s="43"/>
    </row>
    <row r="521" ht="15.75" customHeight="1">
      <c r="J521" s="43"/>
      <c r="K521" s="43"/>
      <c r="L521" s="43"/>
    </row>
    <row r="522" ht="15.75" customHeight="1">
      <c r="J522" s="43"/>
      <c r="K522" s="43"/>
      <c r="L522" s="43"/>
    </row>
    <row r="523" ht="15.75" customHeight="1">
      <c r="J523" s="43"/>
      <c r="K523" s="43"/>
      <c r="L523" s="43"/>
    </row>
    <row r="524" ht="15.75" customHeight="1">
      <c r="J524" s="43"/>
      <c r="K524" s="43"/>
      <c r="L524" s="43"/>
    </row>
    <row r="525" ht="15.75" customHeight="1">
      <c r="J525" s="43"/>
      <c r="K525" s="43"/>
      <c r="L525" s="43"/>
    </row>
    <row r="526" ht="15.75" customHeight="1">
      <c r="J526" s="43"/>
      <c r="K526" s="43"/>
      <c r="L526" s="43"/>
    </row>
    <row r="527" ht="15.75" customHeight="1">
      <c r="J527" s="43"/>
      <c r="K527" s="43"/>
      <c r="L527" s="43"/>
    </row>
    <row r="528" ht="15.75" customHeight="1">
      <c r="J528" s="43"/>
      <c r="K528" s="43"/>
      <c r="L528" s="43"/>
    </row>
    <row r="529" ht="15.75" customHeight="1">
      <c r="J529" s="43"/>
      <c r="K529" s="43"/>
      <c r="L529" s="43"/>
    </row>
    <row r="530" ht="15.75" customHeight="1">
      <c r="J530" s="43"/>
      <c r="K530" s="43"/>
      <c r="L530" s="43"/>
    </row>
    <row r="531" ht="15.75" customHeight="1">
      <c r="J531" s="43"/>
      <c r="K531" s="43"/>
      <c r="L531" s="43"/>
    </row>
    <row r="532" ht="15.75" customHeight="1">
      <c r="J532" s="43"/>
      <c r="K532" s="43"/>
      <c r="L532" s="43"/>
    </row>
    <row r="533" ht="15.75" customHeight="1">
      <c r="J533" s="43"/>
      <c r="K533" s="43"/>
      <c r="L533" s="43"/>
    </row>
    <row r="534" ht="15.75" customHeight="1">
      <c r="J534" s="43"/>
      <c r="K534" s="43"/>
      <c r="L534" s="43"/>
    </row>
    <row r="535" ht="15.75" customHeight="1">
      <c r="J535" s="43"/>
      <c r="K535" s="43"/>
      <c r="L535" s="43"/>
    </row>
    <row r="536" ht="15.75" customHeight="1">
      <c r="J536" s="43"/>
      <c r="K536" s="43"/>
      <c r="L536" s="43"/>
    </row>
    <row r="537" ht="15.75" customHeight="1">
      <c r="J537" s="43"/>
      <c r="K537" s="43"/>
      <c r="L537" s="43"/>
    </row>
    <row r="538" ht="15.75" customHeight="1">
      <c r="J538" s="43"/>
      <c r="K538" s="43"/>
      <c r="L538" s="43"/>
    </row>
    <row r="539" ht="15.75" customHeight="1">
      <c r="J539" s="43"/>
      <c r="K539" s="43"/>
      <c r="L539" s="43"/>
    </row>
    <row r="540" ht="15.75" customHeight="1">
      <c r="J540" s="43"/>
      <c r="K540" s="43"/>
      <c r="L540" s="43"/>
    </row>
    <row r="541" ht="15.75" customHeight="1">
      <c r="J541" s="43"/>
      <c r="K541" s="43"/>
      <c r="L541" s="43"/>
    </row>
    <row r="542" ht="15.75" customHeight="1">
      <c r="J542" s="43"/>
      <c r="K542" s="43"/>
      <c r="L542" s="43"/>
    </row>
    <row r="543" ht="15.75" customHeight="1">
      <c r="J543" s="43"/>
      <c r="K543" s="43"/>
      <c r="L543" s="43"/>
    </row>
    <row r="544" ht="15.75" customHeight="1">
      <c r="J544" s="43"/>
      <c r="K544" s="43"/>
      <c r="L544" s="43"/>
    </row>
    <row r="545" ht="15.75" customHeight="1">
      <c r="J545" s="43"/>
      <c r="K545" s="43"/>
      <c r="L545" s="43"/>
    </row>
    <row r="546" ht="15.75" customHeight="1">
      <c r="J546" s="43"/>
      <c r="K546" s="43"/>
      <c r="L546" s="43"/>
    </row>
    <row r="547" ht="15.75" customHeight="1">
      <c r="J547" s="43"/>
      <c r="K547" s="43"/>
      <c r="L547" s="43"/>
    </row>
    <row r="548" ht="15.75" customHeight="1">
      <c r="J548" s="43"/>
      <c r="K548" s="43"/>
      <c r="L548" s="43"/>
    </row>
    <row r="549" ht="15.75" customHeight="1">
      <c r="J549" s="43"/>
      <c r="K549" s="43"/>
      <c r="L549" s="43"/>
    </row>
    <row r="550" ht="15.75" customHeight="1">
      <c r="J550" s="43"/>
      <c r="K550" s="43"/>
      <c r="L550" s="43"/>
    </row>
    <row r="551" ht="15.75" customHeight="1">
      <c r="J551" s="43"/>
      <c r="K551" s="43"/>
      <c r="L551" s="43"/>
    </row>
    <row r="552" ht="15.75" customHeight="1">
      <c r="J552" s="43"/>
      <c r="K552" s="43"/>
      <c r="L552" s="43"/>
    </row>
    <row r="553" ht="15.75" customHeight="1">
      <c r="J553" s="43"/>
      <c r="K553" s="43"/>
      <c r="L553" s="43"/>
    </row>
    <row r="554" ht="15.75" customHeight="1">
      <c r="J554" s="43"/>
      <c r="K554" s="43"/>
      <c r="L554" s="43"/>
    </row>
    <row r="555" ht="15.75" customHeight="1">
      <c r="J555" s="43"/>
      <c r="K555" s="43"/>
      <c r="L555" s="43"/>
    </row>
    <row r="556" ht="15.75" customHeight="1">
      <c r="J556" s="43"/>
      <c r="K556" s="43"/>
      <c r="L556" s="43"/>
    </row>
    <row r="557" ht="15.75" customHeight="1">
      <c r="J557" s="43"/>
      <c r="K557" s="43"/>
      <c r="L557" s="43"/>
    </row>
    <row r="558" ht="15.75" customHeight="1">
      <c r="J558" s="43"/>
      <c r="K558" s="43"/>
      <c r="L558" s="43"/>
    </row>
    <row r="559" ht="15.75" customHeight="1">
      <c r="J559" s="43"/>
      <c r="K559" s="43"/>
      <c r="L559" s="43"/>
    </row>
    <row r="560" ht="15.75" customHeight="1">
      <c r="J560" s="43"/>
      <c r="K560" s="43"/>
      <c r="L560" s="43"/>
    </row>
    <row r="561" ht="15.75" customHeight="1">
      <c r="J561" s="43"/>
      <c r="K561" s="43"/>
      <c r="L561" s="43"/>
    </row>
    <row r="562" ht="15.75" customHeight="1">
      <c r="J562" s="43"/>
      <c r="K562" s="43"/>
      <c r="L562" s="43"/>
    </row>
    <row r="563" ht="15.75" customHeight="1">
      <c r="J563" s="43"/>
      <c r="K563" s="43"/>
      <c r="L563" s="43"/>
    </row>
    <row r="564" ht="15.75" customHeight="1">
      <c r="J564" s="43"/>
      <c r="K564" s="43"/>
      <c r="L564" s="43"/>
    </row>
    <row r="565" ht="15.75" customHeight="1">
      <c r="J565" s="43"/>
      <c r="K565" s="43"/>
      <c r="L565" s="43"/>
    </row>
    <row r="566" ht="15.75" customHeight="1">
      <c r="J566" s="43"/>
      <c r="K566" s="43"/>
      <c r="L566" s="43"/>
    </row>
    <row r="567" ht="15.75" customHeight="1">
      <c r="J567" s="43"/>
      <c r="K567" s="43"/>
      <c r="L567" s="43"/>
    </row>
    <row r="568" ht="15.75" customHeight="1">
      <c r="J568" s="43"/>
      <c r="K568" s="43"/>
      <c r="L568" s="43"/>
    </row>
    <row r="569" ht="15.75" customHeight="1">
      <c r="J569" s="43"/>
      <c r="K569" s="43"/>
      <c r="L569" s="43"/>
    </row>
    <row r="570" ht="15.75" customHeight="1">
      <c r="J570" s="43"/>
      <c r="K570" s="43"/>
      <c r="L570" s="43"/>
    </row>
    <row r="571" ht="15.75" customHeight="1">
      <c r="J571" s="43"/>
      <c r="K571" s="43"/>
      <c r="L571" s="43"/>
    </row>
    <row r="572" ht="15.75" customHeight="1">
      <c r="J572" s="43"/>
      <c r="K572" s="43"/>
      <c r="L572" s="43"/>
    </row>
    <row r="573" ht="15.75" customHeight="1">
      <c r="J573" s="43"/>
      <c r="K573" s="43"/>
      <c r="L573" s="43"/>
    </row>
    <row r="574" ht="15.75" customHeight="1">
      <c r="J574" s="43"/>
      <c r="K574" s="43"/>
      <c r="L574" s="43"/>
    </row>
    <row r="575" ht="15.75" customHeight="1">
      <c r="J575" s="43"/>
      <c r="K575" s="43"/>
      <c r="L575" s="43"/>
    </row>
    <row r="576" ht="15.75" customHeight="1">
      <c r="J576" s="43"/>
      <c r="K576" s="43"/>
      <c r="L576" s="43"/>
    </row>
    <row r="577" ht="15.75" customHeight="1">
      <c r="J577" s="43"/>
      <c r="K577" s="43"/>
      <c r="L577" s="43"/>
    </row>
    <row r="578" ht="15.75" customHeight="1">
      <c r="J578" s="43"/>
      <c r="K578" s="43"/>
      <c r="L578" s="43"/>
    </row>
    <row r="579" ht="15.75" customHeight="1">
      <c r="J579" s="43"/>
      <c r="K579" s="43"/>
      <c r="L579" s="43"/>
    </row>
    <row r="580" ht="15.75" customHeight="1">
      <c r="J580" s="43"/>
      <c r="K580" s="43"/>
      <c r="L580" s="43"/>
    </row>
    <row r="581" ht="15.75" customHeight="1">
      <c r="J581" s="43"/>
      <c r="K581" s="43"/>
      <c r="L581" s="43"/>
    </row>
    <row r="582" ht="15.75" customHeight="1">
      <c r="J582" s="43"/>
      <c r="K582" s="43"/>
      <c r="L582" s="43"/>
    </row>
    <row r="583" ht="15.75" customHeight="1">
      <c r="J583" s="43"/>
      <c r="K583" s="43"/>
      <c r="L583" s="43"/>
    </row>
    <row r="584" ht="15.75" customHeight="1">
      <c r="J584" s="43"/>
      <c r="K584" s="43"/>
      <c r="L584" s="43"/>
    </row>
    <row r="585" ht="15.75" customHeight="1">
      <c r="J585" s="43"/>
      <c r="K585" s="43"/>
      <c r="L585" s="43"/>
    </row>
    <row r="586" ht="15.75" customHeight="1">
      <c r="J586" s="43"/>
      <c r="K586" s="43"/>
      <c r="L586" s="43"/>
    </row>
    <row r="587" ht="15.75" customHeight="1">
      <c r="J587" s="43"/>
      <c r="K587" s="43"/>
      <c r="L587" s="43"/>
    </row>
    <row r="588" ht="15.75" customHeight="1">
      <c r="J588" s="43"/>
      <c r="K588" s="43"/>
      <c r="L588" s="43"/>
    </row>
    <row r="589" ht="15.75" customHeight="1">
      <c r="J589" s="43"/>
      <c r="K589" s="43"/>
      <c r="L589" s="43"/>
    </row>
    <row r="590" ht="15.75" customHeight="1">
      <c r="J590" s="43"/>
      <c r="K590" s="43"/>
      <c r="L590" s="43"/>
    </row>
    <row r="591" ht="15.75" customHeight="1">
      <c r="J591" s="43"/>
      <c r="K591" s="43"/>
      <c r="L591" s="43"/>
    </row>
    <row r="592" ht="15.75" customHeight="1">
      <c r="J592" s="43"/>
      <c r="K592" s="43"/>
      <c r="L592" s="43"/>
    </row>
    <row r="593" ht="15.75" customHeight="1">
      <c r="J593" s="43"/>
      <c r="K593" s="43"/>
      <c r="L593" s="43"/>
    </row>
    <row r="594" ht="15.75" customHeight="1">
      <c r="J594" s="43"/>
      <c r="K594" s="43"/>
      <c r="L594" s="43"/>
    </row>
    <row r="595" ht="15.75" customHeight="1">
      <c r="J595" s="43"/>
      <c r="K595" s="43"/>
      <c r="L595" s="43"/>
    </row>
    <row r="596" ht="15.75" customHeight="1">
      <c r="J596" s="43"/>
      <c r="K596" s="43"/>
      <c r="L596" s="43"/>
    </row>
    <row r="597" ht="15.75" customHeight="1">
      <c r="J597" s="43"/>
      <c r="K597" s="43"/>
      <c r="L597" s="43"/>
    </row>
    <row r="598" ht="15.75" customHeight="1">
      <c r="J598" s="43"/>
      <c r="K598" s="43"/>
      <c r="L598" s="43"/>
    </row>
    <row r="599" ht="15.75" customHeight="1">
      <c r="J599" s="43"/>
      <c r="K599" s="43"/>
      <c r="L599" s="43"/>
    </row>
    <row r="600" ht="15.75" customHeight="1">
      <c r="J600" s="43"/>
      <c r="K600" s="43"/>
      <c r="L600" s="43"/>
    </row>
    <row r="601" ht="15.75" customHeight="1">
      <c r="J601" s="43"/>
      <c r="K601" s="43"/>
      <c r="L601" s="43"/>
    </row>
    <row r="602" ht="15.75" customHeight="1">
      <c r="J602" s="43"/>
      <c r="K602" s="43"/>
      <c r="L602" s="43"/>
    </row>
    <row r="603" ht="15.75" customHeight="1">
      <c r="J603" s="43"/>
      <c r="K603" s="43"/>
      <c r="L603" s="43"/>
    </row>
    <row r="604" ht="15.75" customHeight="1">
      <c r="J604" s="43"/>
      <c r="K604" s="43"/>
      <c r="L604" s="43"/>
    </row>
    <row r="605" ht="15.75" customHeight="1">
      <c r="J605" s="43"/>
      <c r="K605" s="43"/>
      <c r="L605" s="43"/>
    </row>
    <row r="606" ht="15.75" customHeight="1">
      <c r="J606" s="43"/>
      <c r="K606" s="43"/>
      <c r="L606" s="43"/>
    </row>
    <row r="607" ht="15.75" customHeight="1">
      <c r="J607" s="43"/>
      <c r="K607" s="43"/>
      <c r="L607" s="43"/>
    </row>
    <row r="608" ht="15.75" customHeight="1">
      <c r="J608" s="43"/>
      <c r="K608" s="43"/>
      <c r="L608" s="43"/>
    </row>
    <row r="609" ht="15.75" customHeight="1">
      <c r="J609" s="43"/>
      <c r="K609" s="43"/>
      <c r="L609" s="43"/>
    </row>
    <row r="610" ht="15.75" customHeight="1">
      <c r="J610" s="43"/>
      <c r="K610" s="43"/>
      <c r="L610" s="43"/>
    </row>
    <row r="611" ht="15.75" customHeight="1">
      <c r="J611" s="43"/>
      <c r="K611" s="43"/>
      <c r="L611" s="43"/>
    </row>
    <row r="612" ht="15.75" customHeight="1">
      <c r="J612" s="43"/>
      <c r="K612" s="43"/>
      <c r="L612" s="43"/>
    </row>
    <row r="613" ht="15.75" customHeight="1">
      <c r="J613" s="43"/>
      <c r="K613" s="43"/>
      <c r="L613" s="43"/>
    </row>
    <row r="614" ht="15.75" customHeight="1">
      <c r="J614" s="43"/>
      <c r="K614" s="43"/>
      <c r="L614" s="43"/>
    </row>
    <row r="615" ht="15.75" customHeight="1">
      <c r="J615" s="43"/>
      <c r="K615" s="43"/>
      <c r="L615" s="43"/>
    </row>
    <row r="616" ht="15.75" customHeight="1">
      <c r="J616" s="43"/>
      <c r="K616" s="43"/>
      <c r="L616" s="43"/>
    </row>
    <row r="617" ht="15.75" customHeight="1">
      <c r="J617" s="43"/>
      <c r="K617" s="43"/>
      <c r="L617" s="43"/>
    </row>
    <row r="618" ht="15.75" customHeight="1">
      <c r="J618" s="43"/>
      <c r="K618" s="43"/>
      <c r="L618" s="43"/>
    </row>
    <row r="619" ht="15.75" customHeight="1">
      <c r="J619" s="43"/>
      <c r="K619" s="43"/>
      <c r="L619" s="43"/>
    </row>
    <row r="620" ht="15.75" customHeight="1">
      <c r="J620" s="43"/>
      <c r="K620" s="43"/>
      <c r="L620" s="43"/>
    </row>
    <row r="621" ht="15.75" customHeight="1">
      <c r="J621" s="43"/>
      <c r="K621" s="43"/>
      <c r="L621" s="43"/>
    </row>
    <row r="622" ht="15.75" customHeight="1">
      <c r="J622" s="43"/>
      <c r="K622" s="43"/>
      <c r="L622" s="43"/>
    </row>
    <row r="623" ht="15.75" customHeight="1">
      <c r="J623" s="43"/>
      <c r="K623" s="43"/>
      <c r="L623" s="43"/>
    </row>
    <row r="624" ht="15.75" customHeight="1">
      <c r="J624" s="43"/>
      <c r="K624" s="43"/>
      <c r="L624" s="43"/>
    </row>
    <row r="625" ht="15.75" customHeight="1">
      <c r="J625" s="43"/>
      <c r="K625" s="43"/>
      <c r="L625" s="43"/>
    </row>
    <row r="626" ht="15.75" customHeight="1">
      <c r="J626" s="43"/>
      <c r="K626" s="43"/>
      <c r="L626" s="43"/>
    </row>
    <row r="627" ht="15.75" customHeight="1">
      <c r="J627" s="43"/>
      <c r="K627" s="43"/>
      <c r="L627" s="43"/>
    </row>
    <row r="628" ht="15.75" customHeight="1">
      <c r="J628" s="43"/>
      <c r="K628" s="43"/>
      <c r="L628" s="43"/>
    </row>
    <row r="629" ht="15.75" customHeight="1">
      <c r="J629" s="43"/>
      <c r="K629" s="43"/>
      <c r="L629" s="43"/>
    </row>
    <row r="630" ht="15.75" customHeight="1">
      <c r="J630" s="43"/>
      <c r="K630" s="43"/>
      <c r="L630" s="43"/>
    </row>
    <row r="631" ht="15.75" customHeight="1">
      <c r="J631" s="43"/>
      <c r="K631" s="43"/>
      <c r="L631" s="43"/>
    </row>
    <row r="632" ht="15.75" customHeight="1">
      <c r="J632" s="43"/>
      <c r="K632" s="43"/>
      <c r="L632" s="43"/>
    </row>
    <row r="633" ht="15.75" customHeight="1">
      <c r="J633" s="43"/>
      <c r="K633" s="43"/>
      <c r="L633" s="43"/>
    </row>
    <row r="634" ht="15.75" customHeight="1">
      <c r="J634" s="43"/>
      <c r="K634" s="43"/>
      <c r="L634" s="43"/>
    </row>
    <row r="635" ht="15.75" customHeight="1">
      <c r="J635" s="43"/>
      <c r="K635" s="43"/>
      <c r="L635" s="43"/>
    </row>
    <row r="636" ht="15.75" customHeight="1">
      <c r="J636" s="43"/>
      <c r="K636" s="43"/>
      <c r="L636" s="43"/>
    </row>
    <row r="637" ht="15.75" customHeight="1">
      <c r="J637" s="43"/>
      <c r="K637" s="43"/>
      <c r="L637" s="43"/>
    </row>
    <row r="638" ht="15.75" customHeight="1">
      <c r="J638" s="43"/>
      <c r="K638" s="43"/>
      <c r="L638" s="43"/>
    </row>
    <row r="639" ht="15.75" customHeight="1">
      <c r="J639" s="43"/>
      <c r="K639" s="43"/>
      <c r="L639" s="43"/>
    </row>
    <row r="640" ht="15.75" customHeight="1">
      <c r="J640" s="43"/>
      <c r="K640" s="43"/>
      <c r="L640" s="43"/>
    </row>
    <row r="641" ht="15.75" customHeight="1">
      <c r="J641" s="43"/>
      <c r="K641" s="43"/>
      <c r="L641" s="43"/>
    </row>
    <row r="642" ht="15.75" customHeight="1">
      <c r="J642" s="43"/>
      <c r="K642" s="43"/>
      <c r="L642" s="43"/>
    </row>
    <row r="643" ht="15.75" customHeight="1">
      <c r="J643" s="43"/>
      <c r="K643" s="43"/>
      <c r="L643" s="43"/>
    </row>
    <row r="644" ht="15.75" customHeight="1">
      <c r="J644" s="43"/>
      <c r="K644" s="43"/>
      <c r="L644" s="43"/>
    </row>
    <row r="645" ht="15.75" customHeight="1">
      <c r="J645" s="43"/>
      <c r="K645" s="43"/>
      <c r="L645" s="43"/>
    </row>
    <row r="646" ht="15.75" customHeight="1">
      <c r="J646" s="43"/>
      <c r="K646" s="43"/>
      <c r="L646" s="43"/>
    </row>
    <row r="647" ht="15.75" customHeight="1">
      <c r="J647" s="43"/>
      <c r="K647" s="43"/>
      <c r="L647" s="43"/>
    </row>
    <row r="648" ht="15.75" customHeight="1">
      <c r="J648" s="43"/>
      <c r="K648" s="43"/>
      <c r="L648" s="43"/>
    </row>
    <row r="649" ht="15.75" customHeight="1">
      <c r="J649" s="43"/>
      <c r="K649" s="43"/>
      <c r="L649" s="43"/>
    </row>
    <row r="650" ht="15.75" customHeight="1">
      <c r="J650" s="43"/>
      <c r="K650" s="43"/>
      <c r="L650" s="43"/>
    </row>
    <row r="651" ht="15.75" customHeight="1">
      <c r="J651" s="43"/>
      <c r="K651" s="43"/>
      <c r="L651" s="43"/>
    </row>
    <row r="652" ht="15.75" customHeight="1">
      <c r="J652" s="43"/>
      <c r="K652" s="43"/>
      <c r="L652" s="43"/>
    </row>
    <row r="653" ht="15.75" customHeight="1">
      <c r="J653" s="43"/>
      <c r="K653" s="43"/>
      <c r="L653" s="43"/>
    </row>
    <row r="654" ht="15.75" customHeight="1">
      <c r="J654" s="43"/>
      <c r="K654" s="43"/>
      <c r="L654" s="43"/>
    </row>
    <row r="655" ht="15.75" customHeight="1">
      <c r="J655" s="43"/>
      <c r="K655" s="43"/>
      <c r="L655" s="43"/>
    </row>
    <row r="656" ht="15.75" customHeight="1">
      <c r="J656" s="43"/>
      <c r="K656" s="43"/>
      <c r="L656" s="43"/>
    </row>
    <row r="657" ht="15.75" customHeight="1">
      <c r="J657" s="43"/>
      <c r="K657" s="43"/>
      <c r="L657" s="43"/>
    </row>
    <row r="658" ht="15.75" customHeight="1">
      <c r="J658" s="43"/>
      <c r="K658" s="43"/>
      <c r="L658" s="43"/>
    </row>
    <row r="659" ht="15.75" customHeight="1">
      <c r="J659" s="43"/>
      <c r="K659" s="43"/>
      <c r="L659" s="43"/>
    </row>
    <row r="660" ht="15.75" customHeight="1">
      <c r="J660" s="43"/>
      <c r="K660" s="43"/>
      <c r="L660" s="43"/>
    </row>
    <row r="661" ht="15.75" customHeight="1">
      <c r="J661" s="43"/>
      <c r="K661" s="43"/>
      <c r="L661" s="43"/>
    </row>
    <row r="662" ht="15.75" customHeight="1">
      <c r="J662" s="43"/>
      <c r="K662" s="43"/>
      <c r="L662" s="43"/>
    </row>
    <row r="663" ht="15.75" customHeight="1">
      <c r="J663" s="43"/>
      <c r="K663" s="43"/>
      <c r="L663" s="43"/>
    </row>
    <row r="664" ht="15.75" customHeight="1">
      <c r="J664" s="43"/>
      <c r="K664" s="43"/>
      <c r="L664" s="43"/>
    </row>
    <row r="665" ht="15.75" customHeight="1">
      <c r="J665" s="43"/>
      <c r="K665" s="43"/>
      <c r="L665" s="43"/>
    </row>
    <row r="666" ht="15.75" customHeight="1">
      <c r="J666" s="43"/>
      <c r="K666" s="43"/>
      <c r="L666" s="43"/>
    </row>
    <row r="667" ht="15.75" customHeight="1">
      <c r="J667" s="43"/>
      <c r="K667" s="43"/>
      <c r="L667" s="43"/>
    </row>
    <row r="668" ht="15.75" customHeight="1">
      <c r="J668" s="43"/>
      <c r="K668" s="43"/>
      <c r="L668" s="43"/>
    </row>
    <row r="669" ht="15.75" customHeight="1">
      <c r="J669" s="43"/>
      <c r="K669" s="43"/>
      <c r="L669" s="43"/>
    </row>
    <row r="670" ht="15.75" customHeight="1">
      <c r="J670" s="43"/>
      <c r="K670" s="43"/>
      <c r="L670" s="43"/>
    </row>
    <row r="671" ht="15.75" customHeight="1">
      <c r="J671" s="43"/>
      <c r="K671" s="43"/>
      <c r="L671" s="43"/>
    </row>
    <row r="672" ht="15.75" customHeight="1">
      <c r="J672" s="43"/>
      <c r="K672" s="43"/>
      <c r="L672" s="43"/>
    </row>
    <row r="673" ht="15.75" customHeight="1">
      <c r="J673" s="43"/>
      <c r="K673" s="43"/>
      <c r="L673" s="43"/>
    </row>
    <row r="674" ht="15.75" customHeight="1">
      <c r="J674" s="43"/>
      <c r="K674" s="43"/>
      <c r="L674" s="43"/>
    </row>
    <row r="675" ht="15.75" customHeight="1">
      <c r="J675" s="43"/>
      <c r="K675" s="43"/>
      <c r="L675" s="43"/>
    </row>
    <row r="676" ht="15.75" customHeight="1">
      <c r="J676" s="43"/>
      <c r="K676" s="43"/>
      <c r="L676" s="43"/>
    </row>
    <row r="677" ht="15.75" customHeight="1">
      <c r="J677" s="43"/>
      <c r="K677" s="43"/>
      <c r="L677" s="43"/>
    </row>
    <row r="678" ht="15.75" customHeight="1">
      <c r="J678" s="43"/>
      <c r="K678" s="43"/>
      <c r="L678" s="43"/>
    </row>
    <row r="679" ht="15.75" customHeight="1">
      <c r="J679" s="43"/>
      <c r="K679" s="43"/>
      <c r="L679" s="43"/>
    </row>
    <row r="680" ht="15.75" customHeight="1">
      <c r="J680" s="43"/>
      <c r="K680" s="43"/>
      <c r="L680" s="43"/>
    </row>
    <row r="681" ht="15.75" customHeight="1">
      <c r="J681" s="43"/>
      <c r="K681" s="43"/>
      <c r="L681" s="43"/>
    </row>
    <row r="682" ht="15.75" customHeight="1">
      <c r="J682" s="43"/>
      <c r="K682" s="43"/>
      <c r="L682" s="43"/>
    </row>
    <row r="683" ht="15.75" customHeight="1">
      <c r="J683" s="43"/>
      <c r="K683" s="43"/>
      <c r="L683" s="43"/>
    </row>
    <row r="684" ht="15.75" customHeight="1">
      <c r="J684" s="43"/>
      <c r="K684" s="43"/>
      <c r="L684" s="43"/>
    </row>
    <row r="685" ht="15.75" customHeight="1">
      <c r="J685" s="43"/>
      <c r="K685" s="43"/>
      <c r="L685" s="43"/>
    </row>
    <row r="686" ht="15.75" customHeight="1">
      <c r="J686" s="43"/>
      <c r="K686" s="43"/>
      <c r="L686" s="43"/>
    </row>
    <row r="687" ht="15.75" customHeight="1">
      <c r="J687" s="43"/>
      <c r="K687" s="43"/>
      <c r="L687" s="43"/>
    </row>
    <row r="688" ht="15.75" customHeight="1">
      <c r="J688" s="43"/>
      <c r="K688" s="43"/>
      <c r="L688" s="43"/>
    </row>
    <row r="689" ht="15.75" customHeight="1">
      <c r="J689" s="43"/>
      <c r="K689" s="43"/>
      <c r="L689" s="43"/>
    </row>
    <row r="690" ht="15.75" customHeight="1">
      <c r="J690" s="43"/>
      <c r="K690" s="43"/>
      <c r="L690" s="43"/>
    </row>
    <row r="691" ht="15.75" customHeight="1">
      <c r="J691" s="43"/>
      <c r="K691" s="43"/>
      <c r="L691" s="43"/>
    </row>
    <row r="692" ht="15.75" customHeight="1">
      <c r="J692" s="43"/>
      <c r="K692" s="43"/>
      <c r="L692" s="43"/>
    </row>
    <row r="693" ht="15.75" customHeight="1">
      <c r="J693" s="43"/>
      <c r="K693" s="43"/>
      <c r="L693" s="43"/>
    </row>
    <row r="694" ht="15.75" customHeight="1">
      <c r="J694" s="43"/>
      <c r="K694" s="43"/>
      <c r="L694" s="43"/>
    </row>
    <row r="695" ht="15.75" customHeight="1">
      <c r="J695" s="43"/>
      <c r="K695" s="43"/>
      <c r="L695" s="43"/>
    </row>
    <row r="696" ht="15.75" customHeight="1">
      <c r="J696" s="43"/>
      <c r="K696" s="43"/>
      <c r="L696" s="43"/>
    </row>
    <row r="697" ht="15.75" customHeight="1">
      <c r="J697" s="43"/>
      <c r="K697" s="43"/>
      <c r="L697" s="43"/>
    </row>
    <row r="698" ht="15.75" customHeight="1">
      <c r="J698" s="43"/>
      <c r="K698" s="43"/>
      <c r="L698" s="43"/>
    </row>
    <row r="699" ht="15.75" customHeight="1">
      <c r="J699" s="43"/>
      <c r="K699" s="43"/>
      <c r="L699" s="43"/>
    </row>
    <row r="700" ht="15.75" customHeight="1">
      <c r="J700" s="43"/>
      <c r="K700" s="43"/>
      <c r="L700" s="43"/>
    </row>
    <row r="701" ht="15.75" customHeight="1">
      <c r="J701" s="43"/>
      <c r="K701" s="43"/>
      <c r="L701" s="43"/>
    </row>
    <row r="702" ht="15.75" customHeight="1">
      <c r="J702" s="43"/>
      <c r="K702" s="43"/>
      <c r="L702" s="43"/>
    </row>
    <row r="703" ht="15.75" customHeight="1">
      <c r="J703" s="43"/>
      <c r="K703" s="43"/>
      <c r="L703" s="43"/>
    </row>
    <row r="704" ht="15.75" customHeight="1">
      <c r="J704" s="43"/>
      <c r="K704" s="43"/>
      <c r="L704" s="43"/>
    </row>
    <row r="705" ht="15.75" customHeight="1">
      <c r="J705" s="43"/>
      <c r="K705" s="43"/>
      <c r="L705" s="43"/>
    </row>
    <row r="706" ht="15.75" customHeight="1">
      <c r="J706" s="43"/>
      <c r="K706" s="43"/>
      <c r="L706" s="43"/>
    </row>
    <row r="707" ht="15.75" customHeight="1">
      <c r="J707" s="43"/>
      <c r="K707" s="43"/>
      <c r="L707" s="43"/>
    </row>
    <row r="708" ht="15.75" customHeight="1">
      <c r="J708" s="43"/>
      <c r="K708" s="43"/>
      <c r="L708" s="43"/>
    </row>
    <row r="709" ht="15.75" customHeight="1">
      <c r="J709" s="43"/>
      <c r="K709" s="43"/>
      <c r="L709" s="43"/>
    </row>
    <row r="710" ht="15.75" customHeight="1">
      <c r="J710" s="43"/>
      <c r="K710" s="43"/>
      <c r="L710" s="43"/>
    </row>
    <row r="711" ht="15.75" customHeight="1">
      <c r="J711" s="43"/>
      <c r="K711" s="43"/>
      <c r="L711" s="43"/>
    </row>
    <row r="712" ht="15.75" customHeight="1">
      <c r="J712" s="43"/>
      <c r="K712" s="43"/>
      <c r="L712" s="43"/>
    </row>
    <row r="713" ht="15.75" customHeight="1">
      <c r="J713" s="43"/>
      <c r="K713" s="43"/>
      <c r="L713" s="43"/>
    </row>
    <row r="714" ht="15.75" customHeight="1">
      <c r="J714" s="43"/>
      <c r="K714" s="43"/>
      <c r="L714" s="43"/>
    </row>
    <row r="715" ht="15.75" customHeight="1">
      <c r="J715" s="43"/>
      <c r="K715" s="43"/>
      <c r="L715" s="43"/>
    </row>
    <row r="716" ht="15.75" customHeight="1">
      <c r="J716" s="43"/>
      <c r="K716" s="43"/>
      <c r="L716" s="43"/>
    </row>
    <row r="717" ht="15.75" customHeight="1">
      <c r="J717" s="43"/>
      <c r="K717" s="43"/>
      <c r="L717" s="43"/>
    </row>
    <row r="718" ht="15.75" customHeight="1">
      <c r="J718" s="43"/>
      <c r="K718" s="43"/>
      <c r="L718" s="43"/>
    </row>
    <row r="719" ht="15.75" customHeight="1">
      <c r="J719" s="43"/>
      <c r="K719" s="43"/>
      <c r="L719" s="43"/>
    </row>
    <row r="720" ht="15.75" customHeight="1">
      <c r="J720" s="43"/>
      <c r="K720" s="43"/>
      <c r="L720" s="43"/>
    </row>
    <row r="721" ht="15.75" customHeight="1">
      <c r="J721" s="43"/>
      <c r="K721" s="43"/>
      <c r="L721" s="43"/>
    </row>
    <row r="722" ht="15.75" customHeight="1">
      <c r="J722" s="43"/>
      <c r="K722" s="43"/>
      <c r="L722" s="43"/>
    </row>
    <row r="723" ht="15.75" customHeight="1">
      <c r="J723" s="43"/>
      <c r="K723" s="43"/>
      <c r="L723" s="43"/>
    </row>
    <row r="724" ht="15.75" customHeight="1">
      <c r="J724" s="43"/>
      <c r="K724" s="43"/>
      <c r="L724" s="43"/>
    </row>
    <row r="725" ht="15.75" customHeight="1">
      <c r="J725" s="43"/>
      <c r="K725" s="43"/>
      <c r="L725" s="43"/>
    </row>
    <row r="726" ht="15.75" customHeight="1">
      <c r="J726" s="43"/>
      <c r="K726" s="43"/>
      <c r="L726" s="43"/>
    </row>
    <row r="727" ht="15.75" customHeight="1">
      <c r="J727" s="43"/>
      <c r="K727" s="43"/>
      <c r="L727" s="43"/>
    </row>
    <row r="728" ht="15.75" customHeight="1">
      <c r="J728" s="43"/>
      <c r="K728" s="43"/>
      <c r="L728" s="43"/>
    </row>
    <row r="729" ht="15.75" customHeight="1">
      <c r="J729" s="43"/>
      <c r="K729" s="43"/>
      <c r="L729" s="43"/>
    </row>
    <row r="730" ht="15.75" customHeight="1">
      <c r="J730" s="43"/>
      <c r="K730" s="43"/>
      <c r="L730" s="43"/>
    </row>
    <row r="731" ht="15.75" customHeight="1">
      <c r="J731" s="43"/>
      <c r="K731" s="43"/>
      <c r="L731" s="43"/>
    </row>
    <row r="732" ht="15.75" customHeight="1">
      <c r="J732" s="43"/>
      <c r="K732" s="43"/>
      <c r="L732" s="43"/>
    </row>
    <row r="733" ht="15.75" customHeight="1">
      <c r="J733" s="43"/>
      <c r="K733" s="43"/>
      <c r="L733" s="43"/>
    </row>
    <row r="734" ht="15.75" customHeight="1">
      <c r="J734" s="43"/>
      <c r="K734" s="43"/>
      <c r="L734" s="43"/>
    </row>
    <row r="735" ht="15.75" customHeight="1">
      <c r="J735" s="43"/>
      <c r="K735" s="43"/>
      <c r="L735" s="43"/>
    </row>
    <row r="736" ht="15.75" customHeight="1">
      <c r="J736" s="43"/>
      <c r="K736" s="43"/>
      <c r="L736" s="43"/>
    </row>
    <row r="737" ht="15.75" customHeight="1">
      <c r="J737" s="43"/>
      <c r="K737" s="43"/>
      <c r="L737" s="43"/>
    </row>
    <row r="738" ht="15.75" customHeight="1">
      <c r="J738" s="43"/>
      <c r="K738" s="43"/>
      <c r="L738" s="43"/>
    </row>
    <row r="739" ht="15.75" customHeight="1">
      <c r="J739" s="43"/>
      <c r="K739" s="43"/>
      <c r="L739" s="43"/>
    </row>
    <row r="740" ht="15.75" customHeight="1">
      <c r="J740" s="43"/>
      <c r="K740" s="43"/>
      <c r="L740" s="43"/>
    </row>
    <row r="741" ht="15.75" customHeight="1">
      <c r="J741" s="43"/>
      <c r="K741" s="43"/>
      <c r="L741" s="43"/>
    </row>
    <row r="742" ht="15.75" customHeight="1">
      <c r="J742" s="43"/>
      <c r="K742" s="43"/>
      <c r="L742" s="43"/>
    </row>
    <row r="743" ht="15.75" customHeight="1">
      <c r="J743" s="43"/>
      <c r="K743" s="43"/>
      <c r="L743" s="43"/>
    </row>
    <row r="744" ht="15.75" customHeight="1">
      <c r="J744" s="43"/>
      <c r="K744" s="43"/>
      <c r="L744" s="43"/>
    </row>
    <row r="745" ht="15.75" customHeight="1">
      <c r="J745" s="43"/>
      <c r="K745" s="43"/>
      <c r="L745" s="43"/>
    </row>
    <row r="746" ht="15.75" customHeight="1">
      <c r="J746" s="43"/>
      <c r="K746" s="43"/>
      <c r="L746" s="43"/>
    </row>
    <row r="747" ht="15.75" customHeight="1">
      <c r="J747" s="43"/>
      <c r="K747" s="43"/>
      <c r="L747" s="43"/>
    </row>
    <row r="748" ht="15.75" customHeight="1">
      <c r="J748" s="43"/>
      <c r="K748" s="43"/>
      <c r="L748" s="43"/>
    </row>
    <row r="749" ht="15.75" customHeight="1">
      <c r="J749" s="43"/>
      <c r="K749" s="43"/>
      <c r="L749" s="43"/>
    </row>
    <row r="750" ht="15.75" customHeight="1">
      <c r="J750" s="43"/>
      <c r="K750" s="43"/>
      <c r="L750" s="43"/>
    </row>
    <row r="751" ht="15.75" customHeight="1">
      <c r="J751" s="43"/>
      <c r="K751" s="43"/>
      <c r="L751" s="43"/>
    </row>
    <row r="752" ht="15.75" customHeight="1">
      <c r="J752" s="43"/>
      <c r="K752" s="43"/>
      <c r="L752" s="43"/>
    </row>
    <row r="753" ht="15.75" customHeight="1">
      <c r="J753" s="43"/>
      <c r="K753" s="43"/>
      <c r="L753" s="43"/>
    </row>
    <row r="754" ht="15.75" customHeight="1">
      <c r="J754" s="43"/>
      <c r="K754" s="43"/>
      <c r="L754" s="43"/>
    </row>
    <row r="755" ht="15.75" customHeight="1">
      <c r="J755" s="43"/>
      <c r="K755" s="43"/>
      <c r="L755" s="43"/>
    </row>
    <row r="756" ht="15.75" customHeight="1">
      <c r="J756" s="43"/>
      <c r="K756" s="43"/>
      <c r="L756" s="43"/>
    </row>
    <row r="757" ht="15.75" customHeight="1">
      <c r="J757" s="43"/>
      <c r="K757" s="43"/>
      <c r="L757" s="43"/>
    </row>
    <row r="758" ht="15.75" customHeight="1">
      <c r="J758" s="43"/>
      <c r="K758" s="43"/>
      <c r="L758" s="43"/>
    </row>
    <row r="759" ht="15.75" customHeight="1">
      <c r="J759" s="43"/>
      <c r="K759" s="43"/>
      <c r="L759" s="43"/>
    </row>
    <row r="760" ht="15.75" customHeight="1">
      <c r="J760" s="43"/>
      <c r="K760" s="43"/>
      <c r="L760" s="43"/>
    </row>
    <row r="761" ht="15.75" customHeight="1">
      <c r="J761" s="43"/>
      <c r="K761" s="43"/>
      <c r="L761" s="43"/>
    </row>
    <row r="762" ht="15.75" customHeight="1">
      <c r="J762" s="43"/>
      <c r="K762" s="43"/>
      <c r="L762" s="43"/>
    </row>
    <row r="763" ht="15.75" customHeight="1">
      <c r="J763" s="43"/>
      <c r="K763" s="43"/>
      <c r="L763" s="43"/>
    </row>
    <row r="764" ht="15.75" customHeight="1">
      <c r="J764" s="43"/>
      <c r="K764" s="43"/>
      <c r="L764" s="43"/>
    </row>
    <row r="765" ht="15.75" customHeight="1">
      <c r="J765" s="43"/>
      <c r="K765" s="43"/>
      <c r="L765" s="43"/>
    </row>
    <row r="766" ht="15.75" customHeight="1">
      <c r="J766" s="43"/>
      <c r="K766" s="43"/>
      <c r="L766" s="43"/>
    </row>
    <row r="767" ht="15.75" customHeight="1">
      <c r="J767" s="43"/>
      <c r="K767" s="43"/>
      <c r="L767" s="43"/>
    </row>
    <row r="768" ht="15.75" customHeight="1">
      <c r="J768" s="43"/>
      <c r="K768" s="43"/>
      <c r="L768" s="43"/>
    </row>
    <row r="769" ht="15.75" customHeight="1">
      <c r="J769" s="43"/>
      <c r="K769" s="43"/>
      <c r="L769" s="43"/>
    </row>
    <row r="770" ht="15.75" customHeight="1">
      <c r="J770" s="43"/>
      <c r="K770" s="43"/>
      <c r="L770" s="43"/>
    </row>
    <row r="771" ht="15.75" customHeight="1">
      <c r="J771" s="43"/>
      <c r="K771" s="43"/>
      <c r="L771" s="43"/>
    </row>
    <row r="772" ht="15.75" customHeight="1">
      <c r="J772" s="43"/>
      <c r="K772" s="43"/>
      <c r="L772" s="43"/>
    </row>
    <row r="773" ht="15.75" customHeight="1">
      <c r="J773" s="43"/>
      <c r="K773" s="43"/>
      <c r="L773" s="43"/>
    </row>
    <row r="774" ht="15.75" customHeight="1">
      <c r="J774" s="43"/>
      <c r="K774" s="43"/>
      <c r="L774" s="43"/>
    </row>
    <row r="775" ht="15.75" customHeight="1">
      <c r="J775" s="43"/>
      <c r="K775" s="43"/>
      <c r="L775" s="43"/>
    </row>
    <row r="776" ht="15.75" customHeight="1">
      <c r="J776" s="43"/>
      <c r="K776" s="43"/>
      <c r="L776" s="43"/>
    </row>
    <row r="777" ht="15.75" customHeight="1">
      <c r="J777" s="43"/>
      <c r="K777" s="43"/>
      <c r="L777" s="43"/>
    </row>
    <row r="778" ht="15.75" customHeight="1">
      <c r="J778" s="43"/>
      <c r="K778" s="43"/>
      <c r="L778" s="43"/>
    </row>
    <row r="779" ht="15.75" customHeight="1">
      <c r="J779" s="43"/>
      <c r="K779" s="43"/>
      <c r="L779" s="43"/>
    </row>
    <row r="780" ht="15.75" customHeight="1">
      <c r="J780" s="43"/>
      <c r="K780" s="43"/>
      <c r="L780" s="43"/>
    </row>
    <row r="781" ht="15.75" customHeight="1">
      <c r="J781" s="43"/>
      <c r="K781" s="43"/>
      <c r="L781" s="43"/>
    </row>
    <row r="782" ht="15.75" customHeight="1">
      <c r="J782" s="43"/>
      <c r="K782" s="43"/>
      <c r="L782" s="43"/>
    </row>
    <row r="783" ht="15.75" customHeight="1">
      <c r="J783" s="43"/>
      <c r="K783" s="43"/>
      <c r="L783" s="43"/>
    </row>
    <row r="784" ht="15.75" customHeight="1">
      <c r="J784" s="43"/>
      <c r="K784" s="43"/>
      <c r="L784" s="43"/>
    </row>
    <row r="785" ht="15.75" customHeight="1">
      <c r="J785" s="43"/>
      <c r="K785" s="43"/>
      <c r="L785" s="43"/>
    </row>
    <row r="786" ht="15.75" customHeight="1">
      <c r="J786" s="43"/>
      <c r="K786" s="43"/>
      <c r="L786" s="43"/>
    </row>
    <row r="787" ht="15.75" customHeight="1">
      <c r="J787" s="43"/>
      <c r="K787" s="43"/>
      <c r="L787" s="43"/>
    </row>
    <row r="788" ht="15.75" customHeight="1">
      <c r="J788" s="43"/>
      <c r="K788" s="43"/>
      <c r="L788" s="43"/>
    </row>
    <row r="789" ht="15.75" customHeight="1">
      <c r="J789" s="43"/>
      <c r="K789" s="43"/>
      <c r="L789" s="43"/>
    </row>
    <row r="790" ht="15.75" customHeight="1">
      <c r="J790" s="43"/>
      <c r="K790" s="43"/>
      <c r="L790" s="43"/>
    </row>
    <row r="791" ht="15.75" customHeight="1">
      <c r="J791" s="43"/>
      <c r="K791" s="43"/>
      <c r="L791" s="43"/>
    </row>
    <row r="792" ht="15.75" customHeight="1">
      <c r="J792" s="43"/>
      <c r="K792" s="43"/>
      <c r="L792" s="43"/>
    </row>
    <row r="793" ht="15.75" customHeight="1">
      <c r="J793" s="43"/>
      <c r="K793" s="43"/>
      <c r="L793" s="43"/>
    </row>
    <row r="794" ht="15.75" customHeight="1">
      <c r="J794" s="43"/>
      <c r="K794" s="43"/>
      <c r="L794" s="43"/>
    </row>
    <row r="795" ht="15.75" customHeight="1">
      <c r="J795" s="43"/>
      <c r="K795" s="43"/>
      <c r="L795" s="43"/>
    </row>
    <row r="796" ht="15.75" customHeight="1">
      <c r="J796" s="43"/>
      <c r="K796" s="43"/>
      <c r="L796" s="43"/>
    </row>
    <row r="797" ht="15.75" customHeight="1">
      <c r="J797" s="43"/>
      <c r="K797" s="43"/>
      <c r="L797" s="43"/>
    </row>
    <row r="798" ht="15.75" customHeight="1">
      <c r="J798" s="43"/>
      <c r="K798" s="43"/>
      <c r="L798" s="43"/>
    </row>
    <row r="799" ht="15.75" customHeight="1">
      <c r="J799" s="43"/>
      <c r="K799" s="43"/>
      <c r="L799" s="43"/>
    </row>
    <row r="800" ht="15.75" customHeight="1">
      <c r="J800" s="43"/>
      <c r="K800" s="43"/>
      <c r="L800" s="43"/>
    </row>
    <row r="801" ht="15.75" customHeight="1">
      <c r="J801" s="43"/>
      <c r="K801" s="43"/>
      <c r="L801" s="43"/>
    </row>
    <row r="802" ht="15.75" customHeight="1">
      <c r="J802" s="43"/>
      <c r="K802" s="43"/>
      <c r="L802" s="43"/>
    </row>
    <row r="803" ht="15.75" customHeight="1">
      <c r="J803" s="43"/>
      <c r="K803" s="43"/>
      <c r="L803" s="43"/>
    </row>
    <row r="804" ht="15.75" customHeight="1">
      <c r="J804" s="43"/>
      <c r="K804" s="43"/>
      <c r="L804" s="43"/>
    </row>
    <row r="805" ht="15.75" customHeight="1">
      <c r="J805" s="43"/>
      <c r="K805" s="43"/>
      <c r="L805" s="43"/>
    </row>
    <row r="806" ht="15.75" customHeight="1">
      <c r="J806" s="43"/>
      <c r="K806" s="43"/>
      <c r="L806" s="43"/>
    </row>
    <row r="807" ht="15.75" customHeight="1">
      <c r="J807" s="43"/>
      <c r="K807" s="43"/>
      <c r="L807" s="43"/>
    </row>
    <row r="808" ht="15.75" customHeight="1">
      <c r="J808" s="43"/>
      <c r="K808" s="43"/>
      <c r="L808" s="43"/>
    </row>
    <row r="809" ht="15.75" customHeight="1">
      <c r="J809" s="43"/>
      <c r="K809" s="43"/>
      <c r="L809" s="43"/>
    </row>
    <row r="810" ht="15.75" customHeight="1">
      <c r="J810" s="43"/>
      <c r="K810" s="43"/>
      <c r="L810" s="43"/>
    </row>
    <row r="811" ht="15.75" customHeight="1">
      <c r="J811" s="43"/>
      <c r="K811" s="43"/>
      <c r="L811" s="43"/>
    </row>
    <row r="812" ht="15.75" customHeight="1">
      <c r="J812" s="43"/>
      <c r="K812" s="43"/>
      <c r="L812" s="43"/>
    </row>
    <row r="813" ht="15.75" customHeight="1">
      <c r="J813" s="43"/>
      <c r="K813" s="43"/>
      <c r="L813" s="43"/>
    </row>
    <row r="814" ht="15.75" customHeight="1">
      <c r="J814" s="43"/>
      <c r="K814" s="43"/>
      <c r="L814" s="43"/>
    </row>
    <row r="815" ht="15.75" customHeight="1">
      <c r="J815" s="43"/>
      <c r="K815" s="43"/>
      <c r="L815" s="43"/>
    </row>
    <row r="816" ht="15.75" customHeight="1">
      <c r="J816" s="43"/>
      <c r="K816" s="43"/>
      <c r="L816" s="43"/>
    </row>
    <row r="817" ht="15.75" customHeight="1">
      <c r="J817" s="43"/>
      <c r="K817" s="43"/>
      <c r="L817" s="43"/>
    </row>
    <row r="818" ht="15.75" customHeight="1">
      <c r="J818" s="43"/>
      <c r="K818" s="43"/>
      <c r="L818" s="43"/>
    </row>
    <row r="819" ht="15.75" customHeight="1">
      <c r="J819" s="43"/>
      <c r="K819" s="43"/>
      <c r="L819" s="43"/>
    </row>
    <row r="820" ht="15.75" customHeight="1">
      <c r="J820" s="43"/>
      <c r="K820" s="43"/>
      <c r="L820" s="43"/>
    </row>
    <row r="821" ht="15.75" customHeight="1">
      <c r="J821" s="43"/>
      <c r="K821" s="43"/>
      <c r="L821" s="43"/>
    </row>
    <row r="822" ht="15.75" customHeight="1">
      <c r="J822" s="43"/>
      <c r="K822" s="43"/>
      <c r="L822" s="43"/>
    </row>
    <row r="823" ht="15.75" customHeight="1">
      <c r="J823" s="43"/>
      <c r="K823" s="43"/>
      <c r="L823" s="43"/>
    </row>
    <row r="824" ht="15.75" customHeight="1">
      <c r="J824" s="43"/>
      <c r="K824" s="43"/>
      <c r="L824" s="43"/>
    </row>
    <row r="825" ht="15.75" customHeight="1">
      <c r="J825" s="43"/>
      <c r="K825" s="43"/>
      <c r="L825" s="43"/>
    </row>
    <row r="826" ht="15.75" customHeight="1">
      <c r="J826" s="43"/>
      <c r="K826" s="43"/>
      <c r="L826" s="43"/>
    </row>
    <row r="827" ht="15.75" customHeight="1">
      <c r="J827" s="43"/>
      <c r="K827" s="43"/>
      <c r="L827" s="43"/>
    </row>
    <row r="828" ht="15.75" customHeight="1">
      <c r="J828" s="43"/>
      <c r="K828" s="43"/>
      <c r="L828" s="43"/>
    </row>
    <row r="829" ht="15.75" customHeight="1">
      <c r="J829" s="43"/>
      <c r="K829" s="43"/>
      <c r="L829" s="43"/>
    </row>
    <row r="830" ht="15.75" customHeight="1">
      <c r="J830" s="43"/>
      <c r="K830" s="43"/>
      <c r="L830" s="43"/>
    </row>
    <row r="831" ht="15.75" customHeight="1">
      <c r="J831" s="43"/>
      <c r="K831" s="43"/>
      <c r="L831" s="43"/>
    </row>
    <row r="832" ht="15.75" customHeight="1">
      <c r="J832" s="43"/>
      <c r="K832" s="43"/>
      <c r="L832" s="43"/>
    </row>
    <row r="833" ht="15.75" customHeight="1">
      <c r="J833" s="43"/>
      <c r="K833" s="43"/>
      <c r="L833" s="43"/>
    </row>
    <row r="834" ht="15.75" customHeight="1">
      <c r="J834" s="43"/>
      <c r="K834" s="43"/>
      <c r="L834" s="43"/>
    </row>
    <row r="835" ht="15.75" customHeight="1">
      <c r="J835" s="43"/>
      <c r="K835" s="43"/>
      <c r="L835" s="43"/>
    </row>
    <row r="836" ht="15.75" customHeight="1">
      <c r="J836" s="43"/>
      <c r="K836" s="43"/>
      <c r="L836" s="43"/>
    </row>
    <row r="837" ht="15.75" customHeight="1">
      <c r="J837" s="43"/>
      <c r="K837" s="43"/>
      <c r="L837" s="43"/>
    </row>
    <row r="838" ht="15.75" customHeight="1">
      <c r="J838" s="43"/>
      <c r="K838" s="43"/>
      <c r="L838" s="43"/>
    </row>
    <row r="839" ht="15.75" customHeight="1">
      <c r="J839" s="43"/>
      <c r="K839" s="43"/>
      <c r="L839" s="43"/>
    </row>
    <row r="840" ht="15.75" customHeight="1">
      <c r="J840" s="43"/>
      <c r="K840" s="43"/>
      <c r="L840" s="43"/>
    </row>
    <row r="841" ht="15.75" customHeight="1">
      <c r="J841" s="43"/>
      <c r="K841" s="43"/>
      <c r="L841" s="43"/>
    </row>
    <row r="842" ht="15.75" customHeight="1">
      <c r="J842" s="43"/>
      <c r="K842" s="43"/>
      <c r="L842" s="43"/>
    </row>
    <row r="843" ht="15.75" customHeight="1">
      <c r="J843" s="43"/>
      <c r="K843" s="43"/>
      <c r="L843" s="43"/>
    </row>
    <row r="844" ht="15.75" customHeight="1">
      <c r="J844" s="43"/>
      <c r="K844" s="43"/>
      <c r="L844" s="43"/>
    </row>
    <row r="845" ht="15.75" customHeight="1">
      <c r="J845" s="43"/>
      <c r="K845" s="43"/>
      <c r="L845" s="43"/>
    </row>
    <row r="846" ht="15.75" customHeight="1">
      <c r="J846" s="43"/>
      <c r="K846" s="43"/>
      <c r="L846" s="43"/>
    </row>
    <row r="847" ht="15.75" customHeight="1">
      <c r="J847" s="43"/>
      <c r="K847" s="43"/>
      <c r="L847" s="43"/>
    </row>
    <row r="848" ht="15.75" customHeight="1">
      <c r="J848" s="43"/>
      <c r="K848" s="43"/>
      <c r="L848" s="43"/>
    </row>
    <row r="849" ht="15.75" customHeight="1">
      <c r="J849" s="43"/>
      <c r="K849" s="43"/>
      <c r="L849" s="43"/>
    </row>
    <row r="850" ht="15.75" customHeight="1">
      <c r="J850" s="43"/>
      <c r="K850" s="43"/>
      <c r="L850" s="43"/>
    </row>
    <row r="851" ht="15.75" customHeight="1">
      <c r="J851" s="43"/>
      <c r="K851" s="43"/>
      <c r="L851" s="43"/>
    </row>
    <row r="852" ht="15.75" customHeight="1">
      <c r="J852" s="43"/>
      <c r="K852" s="43"/>
      <c r="L852" s="43"/>
    </row>
    <row r="853" ht="15.75" customHeight="1">
      <c r="J853" s="43"/>
      <c r="K853" s="43"/>
      <c r="L853" s="43"/>
    </row>
    <row r="854" ht="15.75" customHeight="1">
      <c r="J854" s="43"/>
      <c r="K854" s="43"/>
      <c r="L854" s="43"/>
    </row>
    <row r="855" ht="15.75" customHeight="1">
      <c r="J855" s="43"/>
      <c r="K855" s="43"/>
      <c r="L855" s="43"/>
    </row>
    <row r="856" ht="15.75" customHeight="1">
      <c r="J856" s="43"/>
      <c r="K856" s="43"/>
      <c r="L856" s="43"/>
    </row>
    <row r="857" ht="15.75" customHeight="1">
      <c r="J857" s="43"/>
      <c r="K857" s="43"/>
      <c r="L857" s="43"/>
    </row>
    <row r="858" ht="15.75" customHeight="1">
      <c r="J858" s="43"/>
      <c r="K858" s="43"/>
      <c r="L858" s="43"/>
    </row>
    <row r="859" ht="15.75" customHeight="1">
      <c r="J859" s="43"/>
      <c r="K859" s="43"/>
      <c r="L859" s="43"/>
    </row>
    <row r="860" ht="15.75" customHeight="1">
      <c r="J860" s="43"/>
      <c r="K860" s="43"/>
      <c r="L860" s="43"/>
    </row>
    <row r="861" ht="15.75" customHeight="1">
      <c r="J861" s="43"/>
      <c r="K861" s="43"/>
      <c r="L861" s="43"/>
    </row>
    <row r="862" ht="15.75" customHeight="1">
      <c r="J862" s="43"/>
      <c r="K862" s="43"/>
      <c r="L862" s="43"/>
    </row>
    <row r="863" ht="15.75" customHeight="1">
      <c r="J863" s="43"/>
      <c r="K863" s="43"/>
      <c r="L863" s="43"/>
    </row>
    <row r="864" ht="15.75" customHeight="1">
      <c r="J864" s="43"/>
      <c r="K864" s="43"/>
      <c r="L864" s="43"/>
    </row>
    <row r="865" ht="15.75" customHeight="1">
      <c r="J865" s="43"/>
      <c r="K865" s="43"/>
      <c r="L865" s="43"/>
    </row>
    <row r="866" ht="15.75" customHeight="1">
      <c r="J866" s="43"/>
      <c r="K866" s="43"/>
      <c r="L866" s="43"/>
    </row>
    <row r="867" ht="15.75" customHeight="1">
      <c r="J867" s="43"/>
      <c r="K867" s="43"/>
      <c r="L867" s="43"/>
    </row>
    <row r="868" ht="15.75" customHeight="1">
      <c r="J868" s="43"/>
      <c r="K868" s="43"/>
      <c r="L868" s="43"/>
    </row>
    <row r="869" ht="15.75" customHeight="1">
      <c r="J869" s="43"/>
      <c r="K869" s="43"/>
      <c r="L869" s="43"/>
    </row>
    <row r="870" ht="15.75" customHeight="1">
      <c r="J870" s="43"/>
      <c r="K870" s="43"/>
      <c r="L870" s="43"/>
    </row>
    <row r="871" ht="15.75" customHeight="1">
      <c r="J871" s="43"/>
      <c r="K871" s="43"/>
      <c r="L871" s="43"/>
    </row>
    <row r="872" ht="15.75" customHeight="1">
      <c r="J872" s="43"/>
      <c r="K872" s="43"/>
      <c r="L872" s="43"/>
    </row>
    <row r="873" ht="15.75" customHeight="1">
      <c r="J873" s="43"/>
      <c r="K873" s="43"/>
      <c r="L873" s="43"/>
    </row>
    <row r="874" ht="15.75" customHeight="1">
      <c r="J874" s="43"/>
      <c r="K874" s="43"/>
      <c r="L874" s="43"/>
    </row>
    <row r="875" ht="15.75" customHeight="1">
      <c r="J875" s="43"/>
      <c r="K875" s="43"/>
      <c r="L875" s="43"/>
    </row>
    <row r="876" ht="15.75" customHeight="1">
      <c r="J876" s="43"/>
      <c r="K876" s="43"/>
      <c r="L876" s="43"/>
    </row>
    <row r="877" ht="15.75" customHeight="1">
      <c r="J877" s="43"/>
      <c r="K877" s="43"/>
      <c r="L877" s="43"/>
    </row>
    <row r="878" ht="15.75" customHeight="1">
      <c r="J878" s="43"/>
      <c r="K878" s="43"/>
      <c r="L878" s="43"/>
    </row>
    <row r="879" ht="15.75" customHeight="1">
      <c r="J879" s="43"/>
      <c r="K879" s="43"/>
      <c r="L879" s="43"/>
    </row>
    <row r="880" ht="15.75" customHeight="1">
      <c r="J880" s="43"/>
      <c r="K880" s="43"/>
      <c r="L880" s="43"/>
    </row>
    <row r="881" ht="15.75" customHeight="1">
      <c r="J881" s="43"/>
      <c r="K881" s="43"/>
      <c r="L881" s="43"/>
    </row>
    <row r="882" ht="15.75" customHeight="1">
      <c r="J882" s="43"/>
      <c r="K882" s="43"/>
      <c r="L882" s="43"/>
    </row>
    <row r="883" ht="15.75" customHeight="1">
      <c r="J883" s="43"/>
      <c r="K883" s="43"/>
      <c r="L883" s="43"/>
    </row>
    <row r="884" ht="15.75" customHeight="1">
      <c r="J884" s="43"/>
      <c r="K884" s="43"/>
      <c r="L884" s="43"/>
    </row>
    <row r="885" ht="15.75" customHeight="1">
      <c r="J885" s="43"/>
      <c r="K885" s="43"/>
      <c r="L885" s="43"/>
    </row>
    <row r="886" ht="15.75" customHeight="1">
      <c r="J886" s="43"/>
      <c r="K886" s="43"/>
      <c r="L886" s="43"/>
    </row>
    <row r="887" ht="15.75" customHeight="1">
      <c r="J887" s="43"/>
      <c r="K887" s="43"/>
      <c r="L887" s="43"/>
    </row>
    <row r="888" ht="15.75" customHeight="1">
      <c r="J888" s="43"/>
      <c r="K888" s="43"/>
      <c r="L888" s="43"/>
    </row>
    <row r="889" ht="15.75" customHeight="1">
      <c r="J889" s="43"/>
      <c r="K889" s="43"/>
      <c r="L889" s="43"/>
    </row>
    <row r="890" ht="15.75" customHeight="1">
      <c r="J890" s="43"/>
      <c r="K890" s="43"/>
      <c r="L890" s="43"/>
    </row>
    <row r="891" ht="15.75" customHeight="1">
      <c r="J891" s="43"/>
      <c r="K891" s="43"/>
      <c r="L891" s="43"/>
    </row>
    <row r="892" ht="15.75" customHeight="1">
      <c r="J892" s="43"/>
      <c r="K892" s="43"/>
      <c r="L892" s="43"/>
    </row>
    <row r="893" ht="15.75" customHeight="1">
      <c r="J893" s="43"/>
      <c r="K893" s="43"/>
      <c r="L893" s="43"/>
    </row>
    <row r="894" ht="15.75" customHeight="1">
      <c r="J894" s="43"/>
      <c r="K894" s="43"/>
      <c r="L894" s="43"/>
    </row>
    <row r="895" ht="15.75" customHeight="1">
      <c r="J895" s="43"/>
      <c r="K895" s="43"/>
      <c r="L895" s="43"/>
    </row>
    <row r="896" ht="15.75" customHeight="1">
      <c r="J896" s="43"/>
      <c r="K896" s="43"/>
      <c r="L896" s="43"/>
    </row>
    <row r="897" ht="15.75" customHeight="1">
      <c r="J897" s="43"/>
      <c r="K897" s="43"/>
      <c r="L897" s="43"/>
    </row>
    <row r="898" ht="15.75" customHeight="1">
      <c r="J898" s="43"/>
      <c r="K898" s="43"/>
      <c r="L898" s="43"/>
    </row>
    <row r="899" ht="15.75" customHeight="1">
      <c r="J899" s="43"/>
      <c r="K899" s="43"/>
      <c r="L899" s="43"/>
    </row>
    <row r="900" ht="15.75" customHeight="1">
      <c r="J900" s="43"/>
      <c r="K900" s="43"/>
      <c r="L900" s="43"/>
    </row>
    <row r="901" ht="15.75" customHeight="1">
      <c r="J901" s="43"/>
      <c r="K901" s="43"/>
      <c r="L901" s="43"/>
    </row>
    <row r="902" ht="15.75" customHeight="1">
      <c r="J902" s="43"/>
      <c r="K902" s="43"/>
      <c r="L902" s="43"/>
    </row>
    <row r="903" ht="15.75" customHeight="1">
      <c r="J903" s="43"/>
      <c r="K903" s="43"/>
      <c r="L903" s="43"/>
    </row>
    <row r="904" ht="15.75" customHeight="1">
      <c r="J904" s="43"/>
      <c r="K904" s="43"/>
      <c r="L904" s="43"/>
    </row>
    <row r="905" ht="15.75" customHeight="1">
      <c r="J905" s="43"/>
      <c r="K905" s="43"/>
      <c r="L905" s="43"/>
    </row>
    <row r="906" ht="15.75" customHeight="1">
      <c r="J906" s="43"/>
      <c r="K906" s="43"/>
      <c r="L906" s="43"/>
    </row>
    <row r="907" ht="15.75" customHeight="1">
      <c r="J907" s="43"/>
      <c r="K907" s="43"/>
      <c r="L907" s="43"/>
    </row>
    <row r="908" ht="15.75" customHeight="1">
      <c r="J908" s="43"/>
      <c r="K908" s="43"/>
      <c r="L908" s="43"/>
    </row>
    <row r="909" ht="15.75" customHeight="1">
      <c r="J909" s="43"/>
      <c r="K909" s="43"/>
      <c r="L909" s="43"/>
    </row>
    <row r="910" ht="15.75" customHeight="1">
      <c r="J910" s="43"/>
      <c r="K910" s="43"/>
      <c r="L910" s="43"/>
    </row>
    <row r="911" ht="15.75" customHeight="1">
      <c r="J911" s="43"/>
      <c r="K911" s="43"/>
      <c r="L911" s="43"/>
    </row>
    <row r="912" ht="15.75" customHeight="1">
      <c r="J912" s="43"/>
      <c r="K912" s="43"/>
      <c r="L912" s="43"/>
    </row>
    <row r="913" ht="15.75" customHeight="1">
      <c r="J913" s="43"/>
      <c r="K913" s="43"/>
      <c r="L913" s="43"/>
    </row>
    <row r="914" ht="15.75" customHeight="1">
      <c r="J914" s="43"/>
      <c r="K914" s="43"/>
      <c r="L914" s="43"/>
    </row>
    <row r="915" ht="15.75" customHeight="1">
      <c r="J915" s="43"/>
      <c r="K915" s="43"/>
      <c r="L915" s="43"/>
    </row>
    <row r="916" ht="15.75" customHeight="1">
      <c r="J916" s="43"/>
      <c r="K916" s="43"/>
      <c r="L916" s="43"/>
    </row>
    <row r="917" ht="15.75" customHeight="1">
      <c r="J917" s="43"/>
      <c r="K917" s="43"/>
      <c r="L917" s="43"/>
    </row>
    <row r="918" ht="15.75" customHeight="1">
      <c r="J918" s="43"/>
      <c r="K918" s="43"/>
      <c r="L918" s="43"/>
    </row>
    <row r="919" ht="15.75" customHeight="1">
      <c r="J919" s="43"/>
      <c r="K919" s="43"/>
      <c r="L919" s="43"/>
    </row>
    <row r="920" ht="15.75" customHeight="1">
      <c r="J920" s="43"/>
      <c r="K920" s="43"/>
      <c r="L920" s="43"/>
    </row>
    <row r="921" ht="15.75" customHeight="1">
      <c r="J921" s="43"/>
      <c r="K921" s="43"/>
      <c r="L921" s="43"/>
    </row>
    <row r="922" ht="15.75" customHeight="1">
      <c r="J922" s="43"/>
      <c r="K922" s="43"/>
      <c r="L922" s="43"/>
    </row>
    <row r="923" ht="15.75" customHeight="1">
      <c r="J923" s="43"/>
      <c r="K923" s="43"/>
      <c r="L923" s="43"/>
    </row>
    <row r="924" ht="15.75" customHeight="1">
      <c r="J924" s="43"/>
      <c r="K924" s="43"/>
      <c r="L924" s="43"/>
    </row>
    <row r="925" ht="15.75" customHeight="1">
      <c r="J925" s="43"/>
      <c r="K925" s="43"/>
      <c r="L925" s="43"/>
    </row>
    <row r="926" ht="15.75" customHeight="1">
      <c r="J926" s="43"/>
      <c r="K926" s="43"/>
      <c r="L926" s="43"/>
    </row>
    <row r="927" ht="15.75" customHeight="1">
      <c r="J927" s="43"/>
      <c r="K927" s="43"/>
      <c r="L927" s="43"/>
    </row>
    <row r="928" ht="15.75" customHeight="1">
      <c r="J928" s="43"/>
      <c r="K928" s="43"/>
      <c r="L928" s="43"/>
    </row>
    <row r="929" ht="15.75" customHeight="1">
      <c r="J929" s="43"/>
      <c r="K929" s="43"/>
      <c r="L929" s="43"/>
    </row>
    <row r="930" ht="15.75" customHeight="1">
      <c r="J930" s="43"/>
      <c r="K930" s="43"/>
      <c r="L930" s="43"/>
    </row>
    <row r="931" ht="15.75" customHeight="1">
      <c r="J931" s="43"/>
      <c r="K931" s="43"/>
      <c r="L931" s="43"/>
    </row>
    <row r="932" ht="15.75" customHeight="1">
      <c r="J932" s="43"/>
      <c r="K932" s="43"/>
      <c r="L932" s="43"/>
    </row>
    <row r="933" ht="15.75" customHeight="1">
      <c r="J933" s="43"/>
      <c r="K933" s="43"/>
      <c r="L933" s="43"/>
    </row>
    <row r="934" ht="15.75" customHeight="1">
      <c r="J934" s="43"/>
      <c r="K934" s="43"/>
      <c r="L934" s="43"/>
    </row>
    <row r="935" ht="15.75" customHeight="1">
      <c r="J935" s="43"/>
      <c r="K935" s="43"/>
      <c r="L935" s="43"/>
    </row>
    <row r="936" ht="15.75" customHeight="1">
      <c r="J936" s="43"/>
      <c r="K936" s="43"/>
      <c r="L936" s="43"/>
    </row>
    <row r="937" ht="15.75" customHeight="1">
      <c r="J937" s="43"/>
      <c r="K937" s="43"/>
      <c r="L937" s="43"/>
    </row>
    <row r="938" ht="15.75" customHeight="1">
      <c r="J938" s="43"/>
      <c r="K938" s="43"/>
      <c r="L938" s="43"/>
    </row>
    <row r="939" ht="15.75" customHeight="1">
      <c r="J939" s="43"/>
      <c r="K939" s="43"/>
      <c r="L939" s="43"/>
    </row>
    <row r="940" ht="15.75" customHeight="1">
      <c r="J940" s="43"/>
      <c r="K940" s="43"/>
      <c r="L940" s="43"/>
    </row>
    <row r="941" ht="15.75" customHeight="1">
      <c r="J941" s="43"/>
      <c r="K941" s="43"/>
      <c r="L941" s="43"/>
    </row>
    <row r="942" ht="15.75" customHeight="1">
      <c r="J942" s="43"/>
      <c r="K942" s="43"/>
      <c r="L942" s="43"/>
    </row>
    <row r="943" ht="15.75" customHeight="1">
      <c r="J943" s="43"/>
      <c r="K943" s="43"/>
      <c r="L943" s="43"/>
    </row>
    <row r="944" ht="15.75" customHeight="1">
      <c r="J944" s="43"/>
      <c r="K944" s="43"/>
      <c r="L944" s="43"/>
    </row>
    <row r="945" ht="15.75" customHeight="1">
      <c r="J945" s="43"/>
      <c r="K945" s="43"/>
      <c r="L945" s="43"/>
    </row>
    <row r="946" ht="15.75" customHeight="1">
      <c r="J946" s="43"/>
      <c r="K946" s="43"/>
      <c r="L946" s="43"/>
    </row>
    <row r="947" ht="15.75" customHeight="1">
      <c r="J947" s="43"/>
      <c r="K947" s="43"/>
      <c r="L947" s="43"/>
    </row>
    <row r="948" ht="15.75" customHeight="1">
      <c r="J948" s="43"/>
      <c r="K948" s="43"/>
      <c r="L948" s="43"/>
    </row>
    <row r="949" ht="15.75" customHeight="1">
      <c r="J949" s="43"/>
      <c r="K949" s="43"/>
      <c r="L949" s="43"/>
    </row>
    <row r="950" ht="15.75" customHeight="1">
      <c r="J950" s="43"/>
      <c r="K950" s="43"/>
      <c r="L950" s="43"/>
    </row>
    <row r="951" ht="15.75" customHeight="1">
      <c r="J951" s="43"/>
      <c r="K951" s="43"/>
      <c r="L951" s="43"/>
    </row>
    <row r="952" ht="15.75" customHeight="1">
      <c r="J952" s="43"/>
      <c r="K952" s="43"/>
      <c r="L952" s="43"/>
    </row>
    <row r="953" ht="15.75" customHeight="1">
      <c r="J953" s="43"/>
      <c r="K953" s="43"/>
      <c r="L953" s="43"/>
    </row>
    <row r="954" ht="15.75" customHeight="1">
      <c r="J954" s="43"/>
      <c r="K954" s="43"/>
      <c r="L954" s="43"/>
    </row>
    <row r="955" ht="15.75" customHeight="1">
      <c r="J955" s="43"/>
      <c r="K955" s="43"/>
      <c r="L955" s="43"/>
    </row>
    <row r="956" ht="15.75" customHeight="1">
      <c r="J956" s="43"/>
      <c r="K956" s="43"/>
      <c r="L956" s="43"/>
    </row>
    <row r="957" ht="15.75" customHeight="1">
      <c r="J957" s="43"/>
      <c r="K957" s="43"/>
      <c r="L957" s="43"/>
    </row>
    <row r="958" ht="15.75" customHeight="1">
      <c r="J958" s="43"/>
      <c r="K958" s="43"/>
      <c r="L958" s="43"/>
    </row>
    <row r="959" ht="15.75" customHeight="1">
      <c r="J959" s="43"/>
      <c r="K959" s="43"/>
      <c r="L959" s="43"/>
    </row>
    <row r="960" ht="15.75" customHeight="1">
      <c r="J960" s="43"/>
      <c r="K960" s="43"/>
      <c r="L960" s="43"/>
    </row>
    <row r="961" ht="15.75" customHeight="1">
      <c r="J961" s="43"/>
      <c r="K961" s="43"/>
      <c r="L961" s="43"/>
    </row>
    <row r="962" ht="15.75" customHeight="1">
      <c r="J962" s="43"/>
      <c r="K962" s="43"/>
      <c r="L962" s="43"/>
    </row>
    <row r="963" ht="15.75" customHeight="1">
      <c r="J963" s="43"/>
      <c r="K963" s="43"/>
      <c r="L963" s="43"/>
    </row>
    <row r="964" ht="15.75" customHeight="1">
      <c r="J964" s="43"/>
      <c r="K964" s="43"/>
      <c r="L964" s="43"/>
    </row>
    <row r="965" ht="15.75" customHeight="1">
      <c r="J965" s="43"/>
      <c r="K965" s="43"/>
      <c r="L965" s="43"/>
    </row>
    <row r="966" ht="15.75" customHeight="1">
      <c r="J966" s="43"/>
      <c r="K966" s="43"/>
      <c r="L966" s="43"/>
    </row>
    <row r="967" ht="15.75" customHeight="1">
      <c r="J967" s="43"/>
      <c r="K967" s="43"/>
      <c r="L967" s="43"/>
    </row>
    <row r="968" ht="15.75" customHeight="1">
      <c r="J968" s="43"/>
      <c r="K968" s="43"/>
      <c r="L968" s="43"/>
    </row>
    <row r="969" ht="15.75" customHeight="1">
      <c r="J969" s="43"/>
      <c r="K969" s="43"/>
      <c r="L969" s="43"/>
    </row>
    <row r="970" ht="15.75" customHeight="1">
      <c r="J970" s="43"/>
      <c r="K970" s="43"/>
      <c r="L970" s="43"/>
    </row>
    <row r="971" ht="15.75" customHeight="1">
      <c r="J971" s="43"/>
      <c r="K971" s="43"/>
      <c r="L971" s="43"/>
    </row>
    <row r="972" ht="15.75" customHeight="1">
      <c r="J972" s="43"/>
      <c r="K972" s="43"/>
      <c r="L972" s="43"/>
    </row>
    <row r="973" ht="15.75" customHeight="1">
      <c r="J973" s="43"/>
      <c r="K973" s="43"/>
      <c r="L973" s="43"/>
    </row>
    <row r="974" ht="15.75" customHeight="1">
      <c r="J974" s="43"/>
      <c r="K974" s="43"/>
      <c r="L974" s="43"/>
    </row>
    <row r="975" ht="15.75" customHeight="1">
      <c r="J975" s="43"/>
      <c r="K975" s="43"/>
      <c r="L975" s="43"/>
    </row>
    <row r="976" ht="15.75" customHeight="1">
      <c r="J976" s="43"/>
      <c r="K976" s="43"/>
      <c r="L976" s="43"/>
    </row>
    <row r="977" ht="15.75" customHeight="1">
      <c r="J977" s="43"/>
      <c r="K977" s="43"/>
      <c r="L977" s="43"/>
    </row>
    <row r="978" ht="15.75" customHeight="1">
      <c r="J978" s="43"/>
      <c r="K978" s="43"/>
      <c r="L978" s="43"/>
    </row>
    <row r="979" ht="15.75" customHeight="1">
      <c r="J979" s="43"/>
      <c r="K979" s="43"/>
      <c r="L979" s="43"/>
    </row>
    <row r="980" ht="15.75" customHeight="1">
      <c r="J980" s="43"/>
      <c r="K980" s="43"/>
      <c r="L980" s="43"/>
    </row>
    <row r="981" ht="15.75" customHeight="1">
      <c r="J981" s="43"/>
      <c r="K981" s="43"/>
      <c r="L981" s="43"/>
    </row>
    <row r="982" ht="15.75" customHeight="1">
      <c r="J982" s="43"/>
      <c r="K982" s="43"/>
      <c r="L982" s="43"/>
    </row>
    <row r="983" ht="15.75" customHeight="1">
      <c r="J983" s="43"/>
      <c r="K983" s="43"/>
      <c r="L983" s="43"/>
    </row>
    <row r="984" ht="15.75" customHeight="1">
      <c r="J984" s="43"/>
      <c r="K984" s="43"/>
      <c r="L984" s="43"/>
    </row>
    <row r="985" ht="15.75" customHeight="1">
      <c r="J985" s="43"/>
      <c r="K985" s="43"/>
      <c r="L985" s="43"/>
    </row>
    <row r="986" ht="15.75" customHeight="1">
      <c r="J986" s="43"/>
      <c r="K986" s="43"/>
      <c r="L986" s="43"/>
    </row>
    <row r="987" ht="15.75" customHeight="1">
      <c r="J987" s="43"/>
      <c r="K987" s="43"/>
      <c r="L987" s="43"/>
    </row>
    <row r="988" ht="15.75" customHeight="1">
      <c r="J988" s="43"/>
      <c r="K988" s="43"/>
      <c r="L988" s="43"/>
    </row>
    <row r="989" ht="15.75" customHeight="1">
      <c r="J989" s="43"/>
      <c r="K989" s="43"/>
      <c r="L989" s="43"/>
    </row>
    <row r="990" ht="15.75" customHeight="1">
      <c r="J990" s="43"/>
      <c r="K990" s="43"/>
      <c r="L990" s="43"/>
    </row>
    <row r="991" ht="15.75" customHeight="1">
      <c r="J991" s="43"/>
      <c r="K991" s="43"/>
      <c r="L991" s="43"/>
    </row>
    <row r="992" ht="15.75" customHeight="1">
      <c r="J992" s="43"/>
      <c r="K992" s="43"/>
      <c r="L992" s="43"/>
    </row>
    <row r="993" ht="15.75" customHeight="1">
      <c r="J993" s="43"/>
      <c r="K993" s="43"/>
      <c r="L993" s="43"/>
    </row>
    <row r="994" ht="15.75" customHeight="1">
      <c r="J994" s="43"/>
      <c r="K994" s="43"/>
      <c r="L994" s="43"/>
    </row>
    <row r="995" ht="15.75" customHeight="1">
      <c r="J995" s="43"/>
      <c r="K995" s="43"/>
      <c r="L995" s="43"/>
    </row>
    <row r="996" ht="15.75" customHeight="1">
      <c r="J996" s="43"/>
      <c r="K996" s="43"/>
      <c r="L996" s="43"/>
    </row>
    <row r="997" ht="15.75" customHeight="1">
      <c r="J997" s="43"/>
      <c r="K997" s="43"/>
      <c r="L997" s="43"/>
    </row>
  </sheetData>
  <autoFilter ref="$G$1:$G$207"/>
  <hyperlinks>
    <hyperlink r:id="rId1" ref="I2"/>
    <hyperlink r:id="rId2" ref="I3"/>
    <hyperlink r:id="rId3" ref="J3"/>
    <hyperlink r:id="rId4" ref="I4"/>
    <hyperlink r:id="rId5" ref="J4"/>
    <hyperlink r:id="rId6" ref="I5"/>
    <hyperlink r:id="rId7" ref="J5"/>
    <hyperlink r:id="rId8" ref="I6"/>
    <hyperlink r:id="rId9" ref="I7"/>
    <hyperlink r:id="rId10" ref="I8"/>
    <hyperlink r:id="rId11" ref="J8"/>
    <hyperlink r:id="rId12" ref="I9"/>
    <hyperlink r:id="rId13" ref="I10"/>
    <hyperlink r:id="rId14" ref="J10"/>
    <hyperlink r:id="rId15" ref="I11"/>
    <hyperlink r:id="rId16" ref="I12"/>
    <hyperlink r:id="rId17" ref="I13"/>
    <hyperlink r:id="rId18" ref="J13"/>
    <hyperlink r:id="rId19" ref="I14"/>
    <hyperlink r:id="rId20" ref="I15"/>
    <hyperlink r:id="rId21" ref="J15"/>
    <hyperlink r:id="rId22" ref="I16"/>
    <hyperlink r:id="rId23" ref="I17"/>
    <hyperlink r:id="rId24" ref="I18"/>
    <hyperlink r:id="rId25" ref="J18"/>
    <hyperlink r:id="rId26" ref="I19"/>
    <hyperlink r:id="rId27" ref="I20"/>
    <hyperlink r:id="rId28" ref="J20"/>
    <hyperlink r:id="rId29" ref="I21"/>
    <hyperlink r:id="rId30" ref="J21"/>
    <hyperlink r:id="rId31" ref="I22"/>
    <hyperlink r:id="rId32" ref="J22"/>
    <hyperlink r:id="rId33" ref="I23"/>
    <hyperlink r:id="rId34" ref="I24"/>
    <hyperlink r:id="rId35" ref="I25"/>
    <hyperlink r:id="rId36" ref="I26"/>
    <hyperlink r:id="rId37" ref="J26"/>
    <hyperlink r:id="rId38" ref="I27"/>
    <hyperlink r:id="rId39" ref="I28"/>
    <hyperlink r:id="rId40" ref="I29"/>
    <hyperlink r:id="rId41" ref="I30"/>
    <hyperlink r:id="rId42" ref="I31"/>
    <hyperlink r:id="rId43" ref="L31"/>
    <hyperlink r:id="rId44" ref="I32"/>
    <hyperlink r:id="rId45" ref="J32"/>
    <hyperlink r:id="rId46" ref="I33"/>
    <hyperlink r:id="rId47" ref="I34"/>
    <hyperlink r:id="rId48" ref="I35"/>
    <hyperlink r:id="rId49" ref="J35"/>
    <hyperlink r:id="rId50" ref="I36"/>
    <hyperlink r:id="rId51" ref="I37"/>
    <hyperlink r:id="rId52" ref="I38"/>
    <hyperlink r:id="rId53" ref="J38"/>
    <hyperlink r:id="rId54" ref="I39"/>
    <hyperlink r:id="rId55" ref="I40"/>
    <hyperlink r:id="rId56" ref="I41"/>
    <hyperlink r:id="rId57" ref="I42"/>
    <hyperlink r:id="rId58" ref="I43"/>
    <hyperlink r:id="rId59" ref="I44"/>
    <hyperlink r:id="rId60" ref="I45"/>
    <hyperlink r:id="rId61" ref="I46"/>
    <hyperlink r:id="rId62" ref="I47"/>
    <hyperlink r:id="rId63" ref="I48"/>
    <hyperlink r:id="rId64" ref="J48"/>
    <hyperlink r:id="rId65" ref="I49"/>
    <hyperlink r:id="rId66" ref="J49"/>
    <hyperlink r:id="rId67" ref="I50"/>
    <hyperlink r:id="rId68" ref="I51"/>
    <hyperlink r:id="rId69" ref="J51"/>
    <hyperlink r:id="rId70" ref="I52"/>
    <hyperlink r:id="rId71" ref="I53"/>
    <hyperlink r:id="rId72" ref="I54"/>
    <hyperlink r:id="rId73" ref="I55"/>
    <hyperlink r:id="rId74" ref="I56"/>
    <hyperlink r:id="rId75" ref="J56"/>
    <hyperlink r:id="rId76" ref="I57"/>
    <hyperlink r:id="rId77" ref="J57"/>
    <hyperlink r:id="rId78" ref="I58"/>
    <hyperlink r:id="rId79" ref="I59"/>
    <hyperlink r:id="rId80" ref="I70"/>
    <hyperlink r:id="rId81" ref="J70"/>
    <hyperlink r:id="rId82" ref="I71"/>
    <hyperlink r:id="rId83" ref="J71"/>
    <hyperlink r:id="rId84" ref="I72"/>
    <hyperlink r:id="rId85" ref="I73"/>
    <hyperlink r:id="rId86" ref="I74"/>
    <hyperlink r:id="rId87" ref="J74"/>
    <hyperlink r:id="rId88" ref="I75"/>
    <hyperlink r:id="rId89" ref="I76"/>
    <hyperlink r:id="rId90" ref="I77"/>
    <hyperlink r:id="rId91" ref="I78"/>
    <hyperlink r:id="rId92" ref="J78"/>
    <hyperlink r:id="rId93" ref="I79"/>
    <hyperlink r:id="rId94" ref="I80"/>
    <hyperlink r:id="rId95" ref="J80"/>
    <hyperlink r:id="rId96" ref="I81"/>
    <hyperlink r:id="rId97" ref="I82"/>
    <hyperlink r:id="rId98" ref="I83"/>
    <hyperlink r:id="rId99" ref="I84"/>
    <hyperlink r:id="rId100" ref="I85"/>
    <hyperlink r:id="rId101" ref="I86"/>
    <hyperlink r:id="rId102" ref="L86"/>
    <hyperlink r:id="rId103" ref="I87"/>
    <hyperlink r:id="rId104" ref="I88"/>
    <hyperlink r:id="rId105" ref="I89"/>
    <hyperlink r:id="rId106" ref="I90"/>
    <hyperlink r:id="rId107" ref="I91"/>
    <hyperlink r:id="rId108" ref="I92"/>
    <hyperlink r:id="rId109" ref="I93"/>
    <hyperlink r:id="rId110" ref="I94"/>
    <hyperlink r:id="rId111" ref="I95"/>
    <hyperlink r:id="rId112" ref="I96"/>
    <hyperlink r:id="rId113" ref="I97"/>
    <hyperlink r:id="rId114" ref="I98"/>
    <hyperlink r:id="rId115" ref="I99"/>
    <hyperlink r:id="rId116" ref="I100"/>
    <hyperlink r:id="rId117" ref="I101"/>
    <hyperlink r:id="rId118" ref="I102"/>
    <hyperlink r:id="rId119" ref="I103"/>
    <hyperlink r:id="rId120" ref="I104"/>
    <hyperlink r:id="rId121" ref="I105"/>
    <hyperlink r:id="rId122" ref="I106"/>
    <hyperlink r:id="rId123" ref="I107"/>
    <hyperlink r:id="rId124" ref="I108"/>
    <hyperlink r:id="rId125" ref="I109"/>
    <hyperlink r:id="rId126" ref="I110"/>
    <hyperlink r:id="rId127" ref="I111"/>
    <hyperlink r:id="rId128" ref="I112"/>
    <hyperlink r:id="rId129" ref="I113"/>
    <hyperlink r:id="rId130" ref="I114"/>
    <hyperlink r:id="rId131" ref="I115"/>
    <hyperlink r:id="rId132" ref="I116"/>
    <hyperlink r:id="rId133" ref="I117"/>
    <hyperlink r:id="rId134" ref="I118"/>
    <hyperlink r:id="rId135" ref="I119"/>
    <hyperlink r:id="rId136" ref="I120"/>
    <hyperlink r:id="rId137" ref="I121"/>
    <hyperlink r:id="rId138" ref="I122"/>
    <hyperlink r:id="rId139" ref="I123"/>
    <hyperlink r:id="rId140" ref="I124"/>
    <hyperlink r:id="rId141" ref="I125"/>
    <hyperlink r:id="rId142" ref="I126"/>
    <hyperlink r:id="rId143" ref="I127"/>
    <hyperlink r:id="rId144" ref="I128"/>
    <hyperlink r:id="rId145" ref="I129"/>
    <hyperlink r:id="rId146" ref="I130"/>
    <hyperlink r:id="rId147" ref="I131"/>
    <hyperlink r:id="rId148" ref="I132"/>
    <hyperlink r:id="rId149" ref="I133"/>
    <hyperlink r:id="rId150" ref="I134"/>
    <hyperlink r:id="rId151" ref="I135"/>
    <hyperlink r:id="rId152" ref="I136"/>
    <hyperlink r:id="rId153" ref="I137"/>
    <hyperlink r:id="rId154" ref="I138"/>
    <hyperlink r:id="rId155" ref="I139"/>
    <hyperlink r:id="rId156" ref="I140"/>
    <hyperlink r:id="rId157" ref="I141"/>
    <hyperlink r:id="rId158" ref="I142"/>
    <hyperlink r:id="rId159" ref="I143"/>
    <hyperlink r:id="rId160" ref="I144"/>
    <hyperlink r:id="rId161" ref="I145"/>
    <hyperlink r:id="rId162" ref="I146"/>
    <hyperlink r:id="rId163" ref="I147"/>
    <hyperlink r:id="rId164" ref="I148"/>
    <hyperlink r:id="rId165" ref="I149"/>
    <hyperlink r:id="rId166" ref="I150"/>
    <hyperlink r:id="rId167" ref="I151"/>
    <hyperlink r:id="rId168" ref="I152"/>
    <hyperlink r:id="rId169" ref="I153"/>
    <hyperlink r:id="rId170" ref="I154"/>
    <hyperlink r:id="rId171" ref="I155"/>
    <hyperlink r:id="rId172" ref="I156"/>
    <hyperlink r:id="rId173" ref="I157"/>
    <hyperlink r:id="rId174" ref="I158"/>
    <hyperlink r:id="rId175" ref="I159"/>
    <hyperlink r:id="rId176" ref="I160"/>
    <hyperlink r:id="rId177" ref="I161"/>
    <hyperlink r:id="rId178" ref="I162"/>
    <hyperlink r:id="rId179" ref="I163"/>
    <hyperlink r:id="rId180" ref="I164"/>
    <hyperlink r:id="rId181" ref="I165"/>
    <hyperlink r:id="rId182" ref="I166"/>
    <hyperlink r:id="rId183" ref="I167"/>
    <hyperlink r:id="rId184" ref="I168"/>
    <hyperlink r:id="rId185" ref="I169"/>
    <hyperlink r:id="rId186" ref="I170"/>
    <hyperlink r:id="rId187" ref="I171"/>
    <hyperlink r:id="rId188" ref="I172"/>
    <hyperlink r:id="rId189" ref="I173"/>
    <hyperlink r:id="rId190" ref="I174"/>
    <hyperlink r:id="rId191" ref="I175"/>
    <hyperlink r:id="rId192" ref="I176"/>
    <hyperlink r:id="rId193" ref="I177"/>
    <hyperlink r:id="rId194" ref="I178"/>
  </hyperlinks>
  <printOptions/>
  <pageMargins bottom="0.75" footer="0.0" header="0.0" left="0.7" right="0.7" top="0.75"/>
  <pageSetup orientation="portrait"/>
  <drawing r:id="rId19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4" t="str">
        <f>IFERROR(__xludf.DUMMYFUNCTION("VSTACK('Asset Map - v2'!A1:M1, FILTER('Asset Map - v2'!A:M, 'Asset Map - v2'!G:G=""Accelerator/Incubator Programs""))"),"Organization Name")</f>
        <v>Organization Name</v>
      </c>
      <c r="B1" s="4" t="str">
        <f>IFERROR(__xludf.DUMMYFUNCTION("""COMPUTED_VALUE"""),"City")</f>
        <v>City</v>
      </c>
      <c r="C1" s="4" t="str">
        <f>IFERROR(__xludf.DUMMYFUNCTION("""COMPUTED_VALUE"""),"Address")</f>
        <v>Address</v>
      </c>
      <c r="D1" s="4" t="str">
        <f>IFERROR(__xludf.DUMMYFUNCTION("""COMPUTED_VALUE"""),"Latitude")</f>
        <v>Latitude</v>
      </c>
      <c r="E1" s="4" t="str">
        <f>IFERROR(__xludf.DUMMYFUNCTION("""COMPUTED_VALUE"""),"Longitude")</f>
        <v>Longitude</v>
      </c>
      <c r="F1" s="4" t="str">
        <f>IFERROR(__xludf.DUMMYFUNCTION("""COMPUTED_VALUE"""),"Province/State")</f>
        <v>Province/State</v>
      </c>
      <c r="G1" s="4" t="str">
        <f>IFERROR(__xludf.DUMMYFUNCTION("""COMPUTED_VALUE"""),"Sector/Type")</f>
        <v>Sector/Type</v>
      </c>
      <c r="H1" s="4" t="str">
        <f>IFERROR(__xludf.DUMMYFUNCTION("""COMPUTED_VALUE"""),"Services Offered")</f>
        <v>Services Offered</v>
      </c>
      <c r="I1" s="4" t="str">
        <f>IFERROR(__xludf.DUMMYFUNCTION("""COMPUTED_VALUE"""),"Website")</f>
        <v>Website</v>
      </c>
      <c r="J1" s="4" t="str">
        <f>IFERROR(__xludf.DUMMYFUNCTION("""COMPUTED_VALUE"""),"Email Address")</f>
        <v>Email Address</v>
      </c>
      <c r="K1" s="4" t="str">
        <f>IFERROR(__xludf.DUMMYFUNCTION("""COMPUTED_VALUE"""),"Phone Number")</f>
        <v>Phone Number</v>
      </c>
      <c r="L1" s="4" t="str">
        <f>IFERROR(__xludf.DUMMYFUNCTION("""COMPUTED_VALUE"""),"Contact Name")</f>
        <v>Contact Name</v>
      </c>
      <c r="M1" s="4" t="str">
        <f>IFERROR(__xludf.DUMMYFUNCTION("""COMPUTED_VALUE"""),"Notes")</f>
        <v>Notes</v>
      </c>
    </row>
    <row r="2">
      <c r="A2" s="4" t="str">
        <f>IFERROR(__xludf.DUMMYFUNCTION("""COMPUTED_VALUE"""),"Desai Accelerator")</f>
        <v>Desai Accelerator</v>
      </c>
      <c r="B2" s="4" t="str">
        <f>IFERROR(__xludf.DUMMYFUNCTION("""COMPUTED_VALUE"""),"Ann Arbor, MI")</f>
        <v>Ann Arbor, MI</v>
      </c>
      <c r="C2" s="4" t="str">
        <f>IFERROR(__xludf.DUMMYFUNCTION("""COMPUTED_VALUE"""),"701 Tappan Ave R2420, Ann Arbor, MI 48109")</f>
        <v>701 Tappan Ave R2420, Ann Arbor, MI 48109</v>
      </c>
      <c r="D2" s="4">
        <f>IFERROR(__xludf.DUMMYFUNCTION("""COMPUTED_VALUE"""),42.2737)</f>
        <v>42.2737</v>
      </c>
      <c r="E2" s="4">
        <f>IFERROR(__xludf.DUMMYFUNCTION("""COMPUTED_VALUE"""),-83.7395)</f>
        <v>-83.7395</v>
      </c>
      <c r="F2" s="4" t="str">
        <f>IFERROR(__xludf.DUMMYFUNCTION("""COMPUTED_VALUE"""),"MI")</f>
        <v>MI</v>
      </c>
      <c r="G2" s="4" t="str">
        <f>IFERROR(__xludf.DUMMYFUNCTION("""COMPUTED_VALUE"""),"Accelerator/Incubator Programs")</f>
        <v>Accelerator/Incubator Programs</v>
      </c>
      <c r="H2" s="4" t="str">
        <f>IFERROR(__xludf.DUMMYFUNCTION("""COMPUTED_VALUE"""),"Startup acceleration, entrepreneurship, business mentorship, internships")</f>
        <v>Startup acceleration, entrepreneurship, business mentorship, internships</v>
      </c>
      <c r="I2" s="44" t="str">
        <f>IFERROR(__xludf.DUMMYFUNCTION("""COMPUTED_VALUE"""),"https://desaiaccelerator.umich.edu/")</f>
        <v>https://desaiaccelerator.umich.edu/</v>
      </c>
      <c r="J2" s="4"/>
      <c r="K2" s="4"/>
      <c r="L2" s="4"/>
      <c r="M2" s="4" t="str">
        <f>IFERROR(__xludf.DUMMYFUNCTION("""COMPUTED_VALUE"""),"Provides internships, programs, and resources.")</f>
        <v>Provides internships, programs, and resources.</v>
      </c>
    </row>
    <row r="3">
      <c r="A3" s="4" t="str">
        <f>IFERROR(__xludf.DUMMYFUNCTION("""COMPUTED_VALUE"""),"PROTO Accelerator")</f>
        <v>PROTO Accelerator</v>
      </c>
      <c r="B3" s="4" t="str">
        <f>IFERROR(__xludf.DUMMYFUNCTION("""COMPUTED_VALUE"""),"Lansing, MI")</f>
        <v>Lansing, MI</v>
      </c>
      <c r="C3" s="4" t="str">
        <f>IFERROR(__xludf.DUMMYFUNCTION("""COMPUTED_VALUE"""),"1000 S. Washington, Ste 201, Lansing, MI 48910")</f>
        <v>1000 S. Washington, Ste 201, Lansing, MI 48910</v>
      </c>
      <c r="D3" s="4">
        <f>IFERROR(__xludf.DUMMYFUNCTION("""COMPUTED_VALUE"""),42.723)</f>
        <v>42.723</v>
      </c>
      <c r="E3" s="4">
        <f>IFERROR(__xludf.DUMMYFUNCTION("""COMPUTED_VALUE"""),-84.5527)</f>
        <v>-84.5527</v>
      </c>
      <c r="F3" s="4" t="str">
        <f>IFERROR(__xludf.DUMMYFUNCTION("""COMPUTED_VALUE"""),"MI")</f>
        <v>MI</v>
      </c>
      <c r="G3" s="4" t="str">
        <f>IFERROR(__xludf.DUMMYFUNCTION("""COMPUTED_VALUE"""),"Accelerator/Incubator Programs")</f>
        <v>Accelerator/Incubator Programs</v>
      </c>
      <c r="H3" s="4" t="str">
        <f>IFERROR(__xludf.DUMMYFUNCTION("""COMPUTED_VALUE"""),"Startups, tech acceleration")</f>
        <v>Startups, tech acceleration</v>
      </c>
      <c r="I3" s="44" t="str">
        <f>IFERROR(__xludf.DUMMYFUNCTION("""COMPUTED_VALUE"""),"https://www.protoaccelerator.com/")</f>
        <v>https://www.protoaccelerator.com/</v>
      </c>
      <c r="J3" s="4"/>
      <c r="K3" s="4" t="str">
        <f>IFERROR(__xludf.DUMMYFUNCTION("""COMPUTED_VALUE"""),"517.643.1564")</f>
        <v>517.643.1564</v>
      </c>
      <c r="L3" s="4" t="str">
        <f>IFERROR(__xludf.DUMMYFUNCTION("""COMPUTED_VALUE"""),"Anum Mughal")</f>
        <v>Anum Mughal</v>
      </c>
      <c r="M3" s="4" t="str">
        <f>IFERROR(__xludf.DUMMYFUNCTION("""COMPUTED_VALUE"""),"Provides tech startups with capital, expertise, and accountability.")</f>
        <v>Provides tech startups with capital, expertise, and accountability.</v>
      </c>
    </row>
    <row r="4">
      <c r="A4" s="4" t="str">
        <f>IFERROR(__xludf.DUMMYFUNCTION("""COMPUTED_VALUE"""),"LIFT Tech")</f>
        <v>LIFT Tech</v>
      </c>
      <c r="B4" s="4" t="str">
        <f>IFERROR(__xludf.DUMMYFUNCTION("""COMPUTED_VALUE"""),"Detroit, MI")</f>
        <v>Detroit, MI</v>
      </c>
      <c r="C4" s="4" t="str">
        <f>IFERROR(__xludf.DUMMYFUNCTION("""COMPUTED_VALUE"""),"1400 Rosa Parks Boulevard, Detroit, MI 48216")</f>
        <v>1400 Rosa Parks Boulevard, Detroit, MI 48216</v>
      </c>
      <c r="D4" s="4">
        <f>IFERROR(__xludf.DUMMYFUNCTION("""COMPUTED_VALUE"""),42.3262)</f>
        <v>42.3262</v>
      </c>
      <c r="E4" s="4">
        <f>IFERROR(__xludf.DUMMYFUNCTION("""COMPUTED_VALUE"""),-83.0686)</f>
        <v>-83.0686</v>
      </c>
      <c r="F4" s="4" t="str">
        <f>IFERROR(__xludf.DUMMYFUNCTION("""COMPUTED_VALUE"""),"MI")</f>
        <v>MI</v>
      </c>
      <c r="G4" s="4" t="str">
        <f>IFERROR(__xludf.DUMMYFUNCTION("""COMPUTED_VALUE"""),"Accelerator/Incubator Programs")</f>
        <v>Accelerator/Incubator Programs</v>
      </c>
      <c r="H4" s="4" t="str">
        <f>IFERROR(__xludf.DUMMYFUNCTION("""COMPUTED_VALUE"""),"Manufacturing innovation, tech advancement, systems engineering, talent development")</f>
        <v>Manufacturing innovation, tech advancement, systems engineering, talent development</v>
      </c>
      <c r="I4" s="44" t="str">
        <f>IFERROR(__xludf.DUMMYFUNCTION("""COMPUTED_VALUE"""),"https://lift.technology/")</f>
        <v>https://lift.technology/</v>
      </c>
      <c r="J4" s="4" t="str">
        <f>IFERROR(__xludf.DUMMYFUNCTION("""COMPUTED_VALUE"""),"communications@almmii.org")</f>
        <v>communications@almmii.org</v>
      </c>
      <c r="K4" s="4" t="str">
        <f>IFERROR(__xludf.DUMMYFUNCTION("""COMPUTED_VALUE"""),"(313) 309-9003")</f>
        <v>(313) 309-9003</v>
      </c>
      <c r="L4" s="4"/>
      <c r="M4" s="4" t="str">
        <f>IFERROR(__xludf.DUMMYFUNCTION("""COMPUTED_VALUE"""),"Membership based organization.")</f>
        <v>Membership based organization.</v>
      </c>
    </row>
    <row r="5">
      <c r="A5" s="4" t="str">
        <f>IFERROR(__xludf.DUMMYFUNCTION("""COMPUTED_VALUE"""),"TechStars Detroit")</f>
        <v>TechStars Detroit</v>
      </c>
      <c r="B5" s="4" t="str">
        <f>IFERROR(__xludf.DUMMYFUNCTION("""COMPUTED_VALUE"""),"Detroit, MI")</f>
        <v>Detroit, MI</v>
      </c>
      <c r="C5" s="4" t="str">
        <f>IFERROR(__xludf.DUMMYFUNCTION("""COMPUTED_VALUE"""),"1420 Washington Blvd, Detroit, MI 48226")</f>
        <v>1420 Washington Blvd, Detroit, MI 48226</v>
      </c>
      <c r="D5" s="4">
        <f>IFERROR(__xludf.DUMMYFUNCTION("""COMPUTED_VALUE"""),42.3341)</f>
        <v>42.3341</v>
      </c>
      <c r="E5" s="4">
        <f>IFERROR(__xludf.DUMMYFUNCTION("""COMPUTED_VALUE"""),-83.0504)</f>
        <v>-83.0504</v>
      </c>
      <c r="F5" s="4" t="str">
        <f>IFERROR(__xludf.DUMMYFUNCTION("""COMPUTED_VALUE"""),"MI")</f>
        <v>MI</v>
      </c>
      <c r="G5" s="4" t="str">
        <f>IFERROR(__xludf.DUMMYFUNCTION("""COMPUTED_VALUE"""),"Accelerator/Incubator Programs")</f>
        <v>Accelerator/Incubator Programs</v>
      </c>
      <c r="H5" s="4" t="str">
        <f>IFERROR(__xludf.DUMMYFUNCTION("""COMPUTED_VALUE"""),"Startup acceleration, venture funding community partnerships, vetical network partnerships")</f>
        <v>Startup acceleration, venture funding community partnerships, vetical network partnerships</v>
      </c>
      <c r="I5" s="44" t="str">
        <f>IFERROR(__xludf.DUMMYFUNCTION("""COMPUTED_VALUE"""),"https://www.techstars.com/accelerators")</f>
        <v>https://www.techstars.com/accelerators</v>
      </c>
      <c r="J5" s="4"/>
      <c r="K5" s="4"/>
      <c r="L5" s="4"/>
      <c r="M5" s="4" t="str">
        <f>IFERROR(__xludf.DUMMYFUNCTION("""COMPUTED_VALUE"""),"Global network, mentorship driven accelerator. ")</f>
        <v>Global network, mentorship driven accelerator. </v>
      </c>
    </row>
    <row r="6">
      <c r="A6" s="4" t="str">
        <f>IFERROR(__xludf.DUMMYFUNCTION("""COMPUTED_VALUE"""),"Urban Tech Xchange (UTX)")</f>
        <v>Urban Tech Xchange (UTX)</v>
      </c>
      <c r="B6" s="4" t="str">
        <f>IFERROR(__xludf.DUMMYFUNCTION("""COMPUTED_VALUE"""),"Detroit, MI")</f>
        <v>Detroit, MI</v>
      </c>
      <c r="C6" s="4" t="str">
        <f>IFERROR(__xludf.DUMMYFUNCTION("""COMPUTED_VALUE"""),"1520 Woodward Ave, Suite 300, Detroit, MI 48226")</f>
        <v>1520 Woodward Ave, Suite 300, Detroit, MI 48226</v>
      </c>
      <c r="D6" s="4">
        <f>IFERROR(__xludf.DUMMYFUNCTION("""COMPUTED_VALUE"""),42.3346)</f>
        <v>42.3346</v>
      </c>
      <c r="E6" s="4">
        <f>IFERROR(__xludf.DUMMYFUNCTION("""COMPUTED_VALUE"""),-83.0496)</f>
        <v>-83.0496</v>
      </c>
      <c r="F6" s="4" t="str">
        <f>IFERROR(__xludf.DUMMYFUNCTION("""COMPUTED_VALUE"""),"MI")</f>
        <v>MI</v>
      </c>
      <c r="G6" s="4" t="str">
        <f>IFERROR(__xludf.DUMMYFUNCTION("""COMPUTED_VALUE"""),"Accelerator/Incubator Programs")</f>
        <v>Accelerator/Incubator Programs</v>
      </c>
      <c r="H6" s="4" t="str">
        <f>IFERROR(__xludf.DUMMYFUNCTION("""COMPUTED_VALUE"""),"Urban innovation, smart cities, sustainability, energy, community health, accessibility, user experience")</f>
        <v>Urban innovation, smart cities, sustainability, energy, community health, accessibility, user experience</v>
      </c>
      <c r="I6" s="44" t="str">
        <f>IFERROR(__xludf.DUMMYFUNCTION("""COMPUTED_VALUE"""),"https://urbantechxchange.com/")</f>
        <v>https://urbantechxchange.com/</v>
      </c>
      <c r="J6" s="4" t="str">
        <f>IFERROR(__xludf.DUMMYFUNCTION("""COMPUTED_VALUE"""),"info@urbantechxchange.com")</f>
        <v>info@urbantechxchange.com</v>
      </c>
      <c r="K6" s="4" t="str">
        <f>IFERROR(__xludf.DUMMYFUNCTION("""COMPUTED_VALUE"""),"313.220.2456")</f>
        <v>313.220.2456</v>
      </c>
      <c r="L6" s="4"/>
      <c r="M6" s="4" t="str">
        <f>IFERROR(__xludf.DUMMYFUNCTION("""COMPUTED_VALUE"""),"UTX is a Detroit-based lab for tech providers, developers, educators, and researchers committed to building equiatble and sustainable cities.")</f>
        <v>UTX is a Detroit-based lab for tech providers, developers, educators, and researchers committed to building equiatble and sustainable cities.</v>
      </c>
    </row>
    <row r="7">
      <c r="A7" s="4" t="str">
        <f>IFERROR(__xludf.DUMMYFUNCTION("""COMPUTED_VALUE"""),"500 Startups Detroit")</f>
        <v>500 Startups Detroit</v>
      </c>
      <c r="B7" s="4" t="str">
        <f>IFERROR(__xludf.DUMMYFUNCTION("""COMPUTED_VALUE"""),"Detroit, MI")</f>
        <v>Detroit, MI</v>
      </c>
      <c r="C7" s="4" t="str">
        <f>IFERROR(__xludf.DUMMYFUNCTION("""COMPUTED_VALUE"""),"1701 Trumbull Ave, Detroit, MI 48216")</f>
        <v>1701 Trumbull Ave, Detroit, MI 48216</v>
      </c>
      <c r="D7" s="4">
        <f>IFERROR(__xludf.DUMMYFUNCTION("""COMPUTED_VALUE"""),42.325)</f>
        <v>42.325</v>
      </c>
      <c r="E7" s="4">
        <f>IFERROR(__xludf.DUMMYFUNCTION("""COMPUTED_VALUE"""),-83.0703)</f>
        <v>-83.0703</v>
      </c>
      <c r="F7" s="4" t="str">
        <f>IFERROR(__xludf.DUMMYFUNCTION("""COMPUTED_VALUE"""),"MI")</f>
        <v>MI</v>
      </c>
      <c r="G7" s="4" t="str">
        <f>IFERROR(__xludf.DUMMYFUNCTION("""COMPUTED_VALUE"""),"Accelerator/Incubator Programs")</f>
        <v>Accelerator/Incubator Programs</v>
      </c>
      <c r="H7" s="4" t="str">
        <f>IFERROR(__xludf.DUMMYFUNCTION("""COMPUTED_VALUE"""),"Venture capital, startups, growth")</f>
        <v>Venture capital, startups, growth</v>
      </c>
      <c r="I7" s="44" t="str">
        <f>IFERROR(__xludf.DUMMYFUNCTION("""COMPUTED_VALUE"""),"https://www.500.co/")</f>
        <v>https://www.500.co/</v>
      </c>
      <c r="J7" s="4" t="str">
        <f>IFERROR(__xludf.DUMMYFUNCTION("""COMPUTED_VALUE"""),"couldn't find online")</f>
        <v>couldn't find online</v>
      </c>
      <c r="K7" s="4"/>
      <c r="L7" s="4"/>
      <c r="M7" s="4" t="str">
        <f>IFERROR(__xludf.DUMMYFUNCTION("""COMPUTED_VALUE"""),"Focused on the U.S. anbd global markets.")</f>
        <v>Focused on the U.S. anbd global markets.</v>
      </c>
    </row>
    <row r="8">
      <c r="A8" s="4" t="str">
        <f>IFERROR(__xludf.DUMMYFUNCTION("""COMPUTED_VALUE"""),"Detroit Smart Parking Lab")</f>
        <v>Detroit Smart Parking Lab</v>
      </c>
      <c r="B8" s="4" t="str">
        <f>IFERROR(__xludf.DUMMYFUNCTION("""COMPUTED_VALUE"""),"Detroit, MI")</f>
        <v>Detroit, MI</v>
      </c>
      <c r="C8" s="4" t="str">
        <f>IFERROR(__xludf.DUMMYFUNCTION("""COMPUTED_VALUE"""),"1701 W. Lafayette Blvd, Detroit, MI 48216")</f>
        <v>1701 W. Lafayette Blvd, Detroit, MI 48216</v>
      </c>
      <c r="D8" s="4">
        <f>IFERROR(__xludf.DUMMYFUNCTION("""COMPUTED_VALUE"""),42.3242)</f>
        <v>42.3242</v>
      </c>
      <c r="E8" s="4">
        <f>IFERROR(__xludf.DUMMYFUNCTION("""COMPUTED_VALUE"""),-83.0709)</f>
        <v>-83.0709</v>
      </c>
      <c r="F8" s="4" t="str">
        <f>IFERROR(__xludf.DUMMYFUNCTION("""COMPUTED_VALUE"""),"MI")</f>
        <v>MI</v>
      </c>
      <c r="G8" s="4" t="str">
        <f>IFERROR(__xludf.DUMMYFUNCTION("""COMPUTED_VALUE"""),"Accelerator/Incubator Programs")</f>
        <v>Accelerator/Incubator Programs</v>
      </c>
      <c r="H8" s="4" t="str">
        <f>IFERROR(__xludf.DUMMYFUNCTION("""COMPUTED_VALUE"""),"Smart parking technology, smart cities, urban transportation.")</f>
        <v>Smart parking technology, smart cities, urban transportation.</v>
      </c>
      <c r="I8" s="44" t="str">
        <f>IFERROR(__xludf.DUMMYFUNCTION("""COMPUTED_VALUE"""),"https://www.detroitsmartparkinglab.org/")</f>
        <v>https://www.detroitsmartparkinglab.org/</v>
      </c>
      <c r="J8" s="4"/>
      <c r="K8" s="4"/>
      <c r="L8" s="4"/>
      <c r="M8" s="4" t="str">
        <f>IFERROR(__xludf.DUMMYFUNCTION("""COMPUTED_VALUE"""),"Offers collaboration and a neutral platform to examine ways to improve customer experiences and the efficient movement of vehicles and goods in defined spaces.")</f>
        <v>Offers collaboration and a neutral platform to examine ways to improve customer experiences and the efficient movement of vehicles and goods in defined spaces.</v>
      </c>
    </row>
    <row r="9">
      <c r="A9" s="4" t="str">
        <f>IFERROR(__xludf.DUMMYFUNCTION("""COMPUTED_VALUE"""),"NewLab Detroit")</f>
        <v>NewLab Detroit</v>
      </c>
      <c r="B9" s="4" t="str">
        <f>IFERROR(__xludf.DUMMYFUNCTION("""COMPUTED_VALUE"""),"Detroit, MI")</f>
        <v>Detroit, MI</v>
      </c>
      <c r="C9" s="4" t="str">
        <f>IFERROR(__xludf.DUMMYFUNCTION("""COMPUTED_VALUE"""),"2050 15th Street, Suite 312, Detroit, MI 48216, USA")</f>
        <v>2050 15th Street, Suite 312, Detroit, MI 48216, USA</v>
      </c>
      <c r="D9" s="4">
        <f>IFERROR(__xludf.DUMMYFUNCTION("""COMPUTED_VALUE"""),42.3258)</f>
        <v>42.3258</v>
      </c>
      <c r="E9" s="4">
        <f>IFERROR(__xludf.DUMMYFUNCTION("""COMPUTED_VALUE"""),-83.0735)</f>
        <v>-83.0735</v>
      </c>
      <c r="F9" s="4" t="str">
        <f>IFERROR(__xludf.DUMMYFUNCTION("""COMPUTED_VALUE"""),"MI")</f>
        <v>MI</v>
      </c>
      <c r="G9" s="4" t="str">
        <f>IFERROR(__xludf.DUMMYFUNCTION("""COMPUTED_VALUE"""),"Accelerator/Incubator Programs")</f>
        <v>Accelerator/Incubator Programs</v>
      </c>
      <c r="H9" s="4" t="str">
        <f>IFERROR(__xludf.DUMMYFUNCTION("""COMPUTED_VALUE"""),"Tech innovation, design, and engineering")</f>
        <v>Tech innovation, design, and engineering</v>
      </c>
      <c r="I9" s="44" t="str">
        <f>IFERROR(__xludf.DUMMYFUNCTION("""COMPUTED_VALUE"""),"https://www.newlab.com/")</f>
        <v>https://www.newlab.com/</v>
      </c>
      <c r="J9" s="4" t="str">
        <f>IFERROR(__xludf.DUMMYFUNCTION("""COMPUTED_VALUE"""),"brandoncorts@gmail.com")</f>
        <v>brandoncorts@gmail.com</v>
      </c>
      <c r="K9" s="4"/>
      <c r="L9" s="4" t="str">
        <f>IFERROR(__xludf.DUMMYFUNCTION("""COMPUTED_VALUE"""),"Brandon Corts, Engineer, Entrepreneur and Platform Lead.")</f>
        <v>Brandon Corts, Engineer, Entrepreneur and Platform Lead.</v>
      </c>
      <c r="M9" s="4" t="str">
        <f>IFERROR(__xludf.DUMMYFUNCTION("""COMPUTED_VALUE"""),"Access to technical labs, prototyping, capability, and real-world testbeds; helps startups get to market faster.")</f>
        <v>Access to technical labs, prototyping, capability, and real-world testbeds; helps startups get to market faster.</v>
      </c>
    </row>
    <row r="10">
      <c r="A10" s="4" t="str">
        <f>IFERROR(__xludf.DUMMYFUNCTION("""COMPUTED_VALUE"""),"TechTown Detroit")</f>
        <v>TechTown Detroit</v>
      </c>
      <c r="B10" s="4" t="str">
        <f>IFERROR(__xludf.DUMMYFUNCTION("""COMPUTED_VALUE"""),"Detroit, MI")</f>
        <v>Detroit, MI</v>
      </c>
      <c r="C10" s="4" t="str">
        <f>IFERROR(__xludf.DUMMYFUNCTION("""COMPUTED_VALUE"""),"440 Burroughs St., Detroit, MI 48202")</f>
        <v>440 Burroughs St., Detroit, MI 48202</v>
      </c>
      <c r="D10" s="4">
        <f>IFERROR(__xludf.DUMMYFUNCTION("""COMPUTED_VALUE"""),42.3649)</f>
        <v>42.3649</v>
      </c>
      <c r="E10" s="4">
        <f>IFERROR(__xludf.DUMMYFUNCTION("""COMPUTED_VALUE"""),-83.0727)</f>
        <v>-83.0727</v>
      </c>
      <c r="F10" s="4" t="str">
        <f>IFERROR(__xludf.DUMMYFUNCTION("""COMPUTED_VALUE"""),"MI")</f>
        <v>MI</v>
      </c>
      <c r="G10" s="4" t="str">
        <f>IFERROR(__xludf.DUMMYFUNCTION("""COMPUTED_VALUE"""),"Accelerator/Incubator Programs")</f>
        <v>Accelerator/Incubator Programs</v>
      </c>
      <c r="H10" s="4" t="str">
        <f>IFERROR(__xludf.DUMMYFUNCTION("""COMPUTED_VALUE"""),"Business incubator, tech startups")</f>
        <v>Business incubator, tech startups</v>
      </c>
      <c r="I10" s="44" t="str">
        <f>IFERROR(__xludf.DUMMYFUNCTION("""COMPUTED_VALUE"""),"https://www.techtowndetroit.org/")</f>
        <v>https://www.techtowndetroit.org/</v>
      </c>
      <c r="J10" s="4" t="str">
        <f>IFERROR(__xludf.DUMMYFUNCTION("""COMPUTED_VALUE"""),"jacobs@techtowndetroit.org")</f>
        <v>jacobs@techtowndetroit.org</v>
      </c>
      <c r="K10" s="4"/>
      <c r="L10" s="4" t="str">
        <f>IFERROR(__xludf.DUMMYFUNCTION("""COMPUTED_VALUE"""),"Jacob Evan Smith, Director, Mobility and Health Innovation")</f>
        <v>Jacob Evan Smith, Director, Mobility and Health Innovation</v>
      </c>
      <c r="M10" s="4" t="str">
        <f>IFERROR(__xludf.DUMMYFUNCTION("""COMPUTED_VALUE"""),"Offers programs and resources for small business owners, tech founders, and entrepreneurs.")</f>
        <v>Offers programs and resources for small business owners, tech founders, and entrepreneurs.</v>
      </c>
    </row>
    <row r="11">
      <c r="A11" s="4" t="str">
        <f>IFERROR(__xludf.DUMMYFUNCTION("""COMPUTED_VALUE"""),"MSU Research Foundation/Spartan Ventures")</f>
        <v>MSU Research Foundation/Spartan Ventures</v>
      </c>
      <c r="B11" s="4" t="str">
        <f>IFERROR(__xludf.DUMMYFUNCTION("""COMPUTED_VALUE"""),"East Lansing, MI")</f>
        <v>East Lansing, MI</v>
      </c>
      <c r="C11" s="4" t="str">
        <f>IFERROR(__xludf.DUMMYFUNCTION("""COMPUTED_VALUE"""),"325 E Grand River Ave, East Lansing, MI 48823")</f>
        <v>325 E Grand River Ave, East Lansing, MI 48823</v>
      </c>
      <c r="D11" s="4">
        <f>IFERROR(__xludf.DUMMYFUNCTION("""COMPUTED_VALUE"""),42.7346)</f>
        <v>42.7346</v>
      </c>
      <c r="E11" s="4">
        <f>IFERROR(__xludf.DUMMYFUNCTION("""COMPUTED_VALUE"""),-84.4808)</f>
        <v>-84.4808</v>
      </c>
      <c r="F11" s="4" t="str">
        <f>IFERROR(__xludf.DUMMYFUNCTION("""COMPUTED_VALUE"""),"MI")</f>
        <v>MI</v>
      </c>
      <c r="G11" s="4" t="str">
        <f>IFERROR(__xludf.DUMMYFUNCTION("""COMPUTED_VALUE"""),"Accelerator/Incubator Programs")</f>
        <v>Accelerator/Incubator Programs</v>
      </c>
      <c r="H11" s="4" t="str">
        <f>IFERROR(__xludf.DUMMYFUNCTION("""COMPUTED_VALUE"""),"Research commercialization, startup support, funding")</f>
        <v>Research commercialization, startup support, funding</v>
      </c>
      <c r="I11" s="44" t="str">
        <f>IFERROR(__xludf.DUMMYFUNCTION("""COMPUTED_VALUE"""),"https://msufoundation.org/")</f>
        <v>https://msufoundation.org/</v>
      </c>
      <c r="J11" s="4"/>
      <c r="K11" s="4" t="str">
        <f>IFERROR(__xludf.DUMMYFUNCTION("""COMPUTED_VALUE"""),"(517) 353-9268")</f>
        <v>(517) 353-9268</v>
      </c>
      <c r="L11" s="4"/>
      <c r="M11" s="4" t="str">
        <f>IFERROR(__xludf.DUMMYFUNCTION("""COMPUTED_VALUE"""),"Provides guidance on IP strategy, access to non-dilutive funding, expert mentorship.")</f>
        <v>Provides guidance on IP strategy, access to non-dilutive funding, expert mentorship.</v>
      </c>
    </row>
    <row r="12">
      <c r="A12" s="4" t="str">
        <f>IFERROR(__xludf.DUMMYFUNCTION("""COMPUTED_VALUE"""),"MSU Innovation Center")</f>
        <v>MSU Innovation Center</v>
      </c>
      <c r="B12" s="4" t="str">
        <f>IFERROR(__xludf.DUMMYFUNCTION("""COMPUTED_VALUE"""),"East Lansing, MI")</f>
        <v>East Lansing, MI</v>
      </c>
      <c r="C12" s="4" t="str">
        <f>IFERROR(__xludf.DUMMYFUNCTION("""COMPUTED_VALUE"""),"325 East Grand River Ave., East Lansing, MI 48823")</f>
        <v>325 East Grand River Ave., East Lansing, MI 48823</v>
      </c>
      <c r="D12" s="4">
        <f>IFERROR(__xludf.DUMMYFUNCTION("""COMPUTED_VALUE"""),42.7346)</f>
        <v>42.7346</v>
      </c>
      <c r="E12" s="4">
        <f>IFERROR(__xludf.DUMMYFUNCTION("""COMPUTED_VALUE"""),-84.4808)</f>
        <v>-84.4808</v>
      </c>
      <c r="F12" s="4" t="str">
        <f>IFERROR(__xludf.DUMMYFUNCTION("""COMPUTED_VALUE"""),"MI")</f>
        <v>MI</v>
      </c>
      <c r="G12" s="4" t="str">
        <f>IFERROR(__xludf.DUMMYFUNCTION("""COMPUTED_VALUE"""),"Accelerator/Incubator Programs")</f>
        <v>Accelerator/Incubator Programs</v>
      </c>
      <c r="H12" s="4" t="str">
        <f>IFERROR(__xludf.DUMMYFUNCTION("""COMPUTED_VALUE"""),"Commercialization, Business Support")</f>
        <v>Commercialization, Business Support</v>
      </c>
      <c r="I12" s="44" t="str">
        <f>IFERROR(__xludf.DUMMYFUNCTION("""COMPUTED_VALUE"""),"https://innovationcenter.msu.edu/")</f>
        <v>https://innovationcenter.msu.edu/</v>
      </c>
      <c r="J12" s="4"/>
      <c r="K12" s="4" t="str">
        <f>IFERROR(__xludf.DUMMYFUNCTION("""COMPUTED_VALUE"""),"(517) 353-9269")</f>
        <v>(517) 353-9269</v>
      </c>
      <c r="L12" s="4"/>
      <c r="M12" s="4" t="str">
        <f>IFERROR(__xludf.DUMMYFUNCTION("""COMPUTED_VALUE"""),"Michigan State University's hub for creating partnerships that develop economic value.")</f>
        <v>Michigan State University's hub for creating partnerships that develop economic value.</v>
      </c>
    </row>
    <row r="13">
      <c r="A13" s="4" t="str">
        <f>IFERROR(__xludf.DUMMYFUNCTION("""COMPUTED_VALUE"""),"Technology Innovation Center")</f>
        <v>Technology Innovation Center</v>
      </c>
      <c r="B13" s="4" t="str">
        <f>IFERROR(__xludf.DUMMYFUNCTION("""COMPUTED_VALUE"""),"East Lansing, MI")</f>
        <v>East Lansing, MI</v>
      </c>
      <c r="C13" s="4" t="str">
        <f>IFERROR(__xludf.DUMMYFUNCTION("""COMPUTED_VALUE"""),"366 W. Circle Drive (10), East Lansing, MI 48824 USA")</f>
        <v>366 W. Circle Drive (10), East Lansing, MI 48824 USA</v>
      </c>
      <c r="D13" s="4">
        <f>IFERROR(__xludf.DUMMYFUNCTION("""COMPUTED_VALUE"""),42.7309)</f>
        <v>42.7309</v>
      </c>
      <c r="E13" s="4">
        <f>IFERROR(__xludf.DUMMYFUNCTION("""COMPUTED_VALUE"""),-84.4832)</f>
        <v>-84.4832</v>
      </c>
      <c r="F13" s="4" t="str">
        <f>IFERROR(__xludf.DUMMYFUNCTION("""COMPUTED_VALUE"""),"MI")</f>
        <v>MI</v>
      </c>
      <c r="G13" s="4" t="str">
        <f>IFERROR(__xludf.DUMMYFUNCTION("""COMPUTED_VALUE"""),"Accelerator/Incubator Programs")</f>
        <v>Accelerator/Incubator Programs</v>
      </c>
      <c r="H13" s="4" t="str">
        <f>IFERROR(__xludf.DUMMYFUNCTION("""COMPUTED_VALUE"""),"Coworking, startup support")</f>
        <v>Coworking, startup support</v>
      </c>
      <c r="I13" s="44" t="str">
        <f>IFERROR(__xludf.DUMMYFUNCTION("""COMPUTED_VALUE"""),"https://msufoundation.org/east-lansing-tic/")</f>
        <v>https://msufoundation.org/east-lansing-tic/</v>
      </c>
      <c r="J13" s="4"/>
      <c r="K13" s="4">
        <f>IFERROR(__xludf.DUMMYFUNCTION("""COMPUTED_VALUE"""),4.1477814E9)</f>
        <v>4147781400</v>
      </c>
      <c r="L13" s="4"/>
      <c r="M13" s="4" t="str">
        <f>IFERROR(__xludf.DUMMYFUNCTION("""COMPUTED_VALUE"""),"Supports early stage technology startups in the Greater Lansing region. Offers private offices, colaborative workspaces, and startup services.")</f>
        <v>Supports early stage technology startups in the Greater Lansing region. Offers private offices, colaborative workspaces, and startup services.</v>
      </c>
    </row>
    <row r="14">
      <c r="A14" s="4" t="str">
        <f>IFERROR(__xludf.DUMMYFUNCTION("""COMPUTED_VALUE"""),"Innovation Works")</f>
        <v>Innovation Works</v>
      </c>
      <c r="B14" s="4" t="str">
        <f>IFERROR(__xludf.DUMMYFUNCTION("""COMPUTED_VALUE"""),"Plymouth, MI")</f>
        <v>Plymouth, MI</v>
      </c>
      <c r="C14" s="4" t="str">
        <f>IFERROR(__xludf.DUMMYFUNCTION("""COMPUTED_VALUE"""),"41100 Plymouth Rd Suite 345, Plymouth, MI 48170")</f>
        <v>41100 Plymouth Rd Suite 345, Plymouth, MI 48170</v>
      </c>
      <c r="D14" s="4">
        <f>IFERROR(__xludf.DUMMYFUNCTION("""COMPUTED_VALUE"""),42.3705)</f>
        <v>42.3705</v>
      </c>
      <c r="E14" s="4">
        <f>IFERROR(__xludf.DUMMYFUNCTION("""COMPUTED_VALUE"""),-83.4839)</f>
        <v>-83.4839</v>
      </c>
      <c r="F14" s="4" t="str">
        <f>IFERROR(__xludf.DUMMYFUNCTION("""COMPUTED_VALUE"""),"MI")</f>
        <v>MI</v>
      </c>
      <c r="G14" s="4" t="str">
        <f>IFERROR(__xludf.DUMMYFUNCTION("""COMPUTED_VALUE"""),"Accelerator/Incubator Programs")</f>
        <v>Accelerator/Incubator Programs</v>
      </c>
      <c r="H14" s="4" t="str">
        <f>IFERROR(__xludf.DUMMYFUNCTION("""COMPUTED_VALUE"""),"Innovation, startups, business development")</f>
        <v>Innovation, startups, business development</v>
      </c>
      <c r="I14" s="44" t="str">
        <f>IFERROR(__xludf.DUMMYFUNCTION("""COMPUTED_VALUE"""),"https://www.innovationworks.com/")</f>
        <v>https://www.innovationworks.com/</v>
      </c>
      <c r="J14" s="4"/>
      <c r="K14" s="4" t="str">
        <f>IFERROR(__xludf.DUMMYFUNCTION("""COMPUTED_VALUE"""),"412.681.1520")</f>
        <v>412.681.1520</v>
      </c>
      <c r="L14" s="4"/>
      <c r="M14" s="4" t="str">
        <f>IFERROR(__xludf.DUMMYFUNCTION("""COMPUTED_VALUE"""),"Provides software and design services that transform ideas into interactive experiences.")</f>
        <v>Provides software and design services that transform ideas into interactive experiences.</v>
      </c>
    </row>
    <row r="15">
      <c r="A15" s="4" t="str">
        <f>IFERROR(__xludf.DUMMYFUNCTION("""COMPUTED_VALUE"""),"OU Inc")</f>
        <v>OU Inc</v>
      </c>
      <c r="B15" s="4" t="str">
        <f>IFERROR(__xludf.DUMMYFUNCTION("""COMPUTED_VALUE"""),"Rochester Hills, MI")</f>
        <v>Rochester Hills, MI</v>
      </c>
      <c r="C15" s="4" t="str">
        <f>IFERROR(__xludf.DUMMYFUNCTION("""COMPUTED_VALUE"""),"419 Golf View Ln, Rochester, MI 48309")</f>
        <v>419 Golf View Ln, Rochester, MI 48309</v>
      </c>
      <c r="D15" s="4">
        <f>IFERROR(__xludf.DUMMYFUNCTION("""COMPUTED_VALUE"""),42.6626)</f>
        <v>42.6626</v>
      </c>
      <c r="E15" s="4">
        <f>IFERROR(__xludf.DUMMYFUNCTION("""COMPUTED_VALUE"""),-83.1866)</f>
        <v>-83.1866</v>
      </c>
      <c r="F15" s="4" t="str">
        <f>IFERROR(__xludf.DUMMYFUNCTION("""COMPUTED_VALUE"""),"MI")</f>
        <v>MI</v>
      </c>
      <c r="G15" s="4" t="str">
        <f>IFERROR(__xludf.DUMMYFUNCTION("""COMPUTED_VALUE"""),"Accelerator/Incubator Programs")</f>
        <v>Accelerator/Incubator Programs</v>
      </c>
      <c r="H15" s="4" t="str">
        <f>IFERROR(__xludf.DUMMYFUNCTION("""COMPUTED_VALUE"""),"Business acceleration, entrepreneurial and business startup resources, strategic business solutions technological innovation")</f>
        <v>Business acceleration, entrepreneurial and business startup resources, strategic business solutions technological innovation</v>
      </c>
      <c r="I15" s="44" t="str">
        <f>IFERROR(__xludf.DUMMYFUNCTION("""COMPUTED_VALUE"""),"https://www.oakland.edu/ouinc/")</f>
        <v>https://www.oakland.edu/ouinc/</v>
      </c>
      <c r="J15" s="4" t="str">
        <f>IFERROR(__xludf.DUMMYFUNCTION("""COMPUTED_VALUE"""),"asmith18@oakland.edu")</f>
        <v>asmith18@oakland.edu</v>
      </c>
      <c r="K15" s="4" t="str">
        <f>IFERROR(__xludf.DUMMYFUNCTION("""COMPUTED_VALUE"""),"(248) 648-4829")</f>
        <v>(248) 648-4829</v>
      </c>
      <c r="L15" s="4" t="str">
        <f>IFERROR(__xludf.DUMMYFUNCTION("""COMPUTED_VALUE"""),"Agatha Smith, Business Manager")</f>
        <v>Agatha Smith, Business Manager</v>
      </c>
      <c r="M15" s="4" t="str">
        <f>IFERROR(__xludf.DUMMYFUNCTION("""COMPUTED_VALUE"""),"Focuses on companies specializing in alternative energy, advanced/additive manufacturing, advanced automotive, advanced technology innovations, IT &amp; digital technologies, medical devices, and mobility technologies.")</f>
        <v>Focuses on companies specializing in alternative energy, advanced/additive manufacturing, advanced automotive, advanced technology innovations, IT &amp; digital technologies, medical devices, and mobility technologies.</v>
      </c>
    </row>
    <row r="16">
      <c r="A16" s="4" t="str">
        <f>IFERROR(__xludf.DUMMYFUNCTION("""COMPUTED_VALUE"""),"Centropolis")</f>
        <v>Centropolis</v>
      </c>
      <c r="B16" s="4" t="str">
        <f>IFERROR(__xludf.DUMMYFUNCTION("""COMPUTED_VALUE"""),"Southfield, MI")</f>
        <v>Southfield, MI</v>
      </c>
      <c r="C16" s="4" t="str">
        <f>IFERROR(__xludf.DUMMYFUNCTION("""COMPUTED_VALUE"""),"21415 Civic Center Dr #100, Southfield, MI 48075")</f>
        <v>21415 Civic Center Dr #100, Southfield, MI 48075</v>
      </c>
      <c r="D16" s="4">
        <f>IFERROR(__xludf.DUMMYFUNCTION("""COMPUTED_VALUE"""),42.4739)</f>
        <v>42.4739</v>
      </c>
      <c r="E16" s="4">
        <f>IFERROR(__xludf.DUMMYFUNCTION("""COMPUTED_VALUE"""),-83.2441)</f>
        <v>-83.2441</v>
      </c>
      <c r="F16" s="4" t="str">
        <f>IFERROR(__xludf.DUMMYFUNCTION("""COMPUTED_VALUE"""),"MI")</f>
        <v>MI</v>
      </c>
      <c r="G16" s="4" t="str">
        <f>IFERROR(__xludf.DUMMYFUNCTION("""COMPUTED_VALUE"""),"Accelerator/Incubator Programs")</f>
        <v>Accelerator/Incubator Programs</v>
      </c>
      <c r="H16" s="4" t="str">
        <f>IFERROR(__xludf.DUMMYFUNCTION("""COMPUTED_VALUE"""),"Technology, innovation, programs, funding, expert guidance")</f>
        <v>Technology, innovation, programs, funding, expert guidance</v>
      </c>
      <c r="I16" s="44" t="str">
        <f>IFERROR(__xludf.DUMMYFUNCTION("""COMPUTED_VALUE"""),"https://www.centrepolisaccelerator.com/")</f>
        <v>https://www.centrepolisaccelerator.com/</v>
      </c>
      <c r="J16" s="4" t="str">
        <f>IFERROR(__xludf.DUMMYFUNCTION("""COMPUTED_VALUE"""),"info@centrepolisaccelerator.com")</f>
        <v>info@centrepolisaccelerator.com</v>
      </c>
      <c r="K16" s="4" t="str">
        <f>IFERROR(__xludf.DUMMYFUNCTION("""COMPUTED_VALUE"""),"248-204-2453")</f>
        <v>248-204-2453</v>
      </c>
      <c r="L16" s="4"/>
      <c r="M16" s="4" t="str">
        <f>IFERROR(__xludf.DUMMYFUNCTION("""COMPUTED_VALUE"""),"Offers tailored programs, funding, expert guidance to support startups and established small businesses in transforming hardtech prototypes into market-ready products.")</f>
        <v>Offers tailored programs, funding, expert guidance to support startups and established small businesses in transforming hardtech prototypes into market-ready products.</v>
      </c>
    </row>
    <row r="17">
      <c r="A17" s="4" t="str">
        <f>IFERROR(__xludf.DUMMYFUNCTION("""COMPUTED_VALUE"""),"Automation Alley")</f>
        <v>Automation Alley</v>
      </c>
      <c r="B17" s="4" t="str">
        <f>IFERROR(__xludf.DUMMYFUNCTION("""COMPUTED_VALUE"""),"Troy, MI")</f>
        <v>Troy, MI</v>
      </c>
      <c r="C17" s="4" t="str">
        <f>IFERROR(__xludf.DUMMYFUNCTION("""COMPUTED_VALUE"""),"2675 Bellingham Dr, Troy, MI 48083")</f>
        <v>2675 Bellingham Dr, Troy, MI 48083</v>
      </c>
      <c r="D17" s="4">
        <f>IFERROR(__xludf.DUMMYFUNCTION("""COMPUTED_VALUE"""),42.560326)</f>
        <v>42.560326</v>
      </c>
      <c r="E17" s="4">
        <f>IFERROR(__xludf.DUMMYFUNCTION("""COMPUTED_VALUE"""),-83.11544)</f>
        <v>-83.11544</v>
      </c>
      <c r="F17" s="4" t="str">
        <f>IFERROR(__xludf.DUMMYFUNCTION("""COMPUTED_VALUE"""),"MI")</f>
        <v>MI</v>
      </c>
      <c r="G17" s="4" t="str">
        <f>IFERROR(__xludf.DUMMYFUNCTION("""COMPUTED_VALUE"""),"Accelerator/Incubator Programs")</f>
        <v>Accelerator/Incubator Programs</v>
      </c>
      <c r="H17" s="4" t="str">
        <f>IFERROR(__xludf.DUMMYFUNCTION("""COMPUTED_VALUE"""),"Automation, tech innovation, business growth programs, services")</f>
        <v>Automation, tech innovation, business growth programs, services</v>
      </c>
      <c r="I17" s="44" t="str">
        <f>IFERROR(__xludf.DUMMYFUNCTION("""COMPUTED_VALUE"""),"https://www.automationalley.com/")</f>
        <v>https://www.automationalley.com/</v>
      </c>
      <c r="J17" s="4" t="str">
        <f>IFERROR(__xludf.DUMMYFUNCTION("""COMPUTED_VALUE"""),"kampen@automationalley.com")</f>
        <v>kampen@automationalley.com</v>
      </c>
      <c r="K17" s="4">
        <f>IFERROR(__xludf.DUMMYFUNCTION("""COMPUTED_VALUE"""),2.484573301E9)</f>
        <v>2484573301</v>
      </c>
      <c r="L17" s="4" t="str">
        <f>IFERROR(__xludf.DUMMYFUNCTION("""COMPUTED_VALUE"""),"Nicole Kampe")</f>
        <v>Nicole Kampe</v>
      </c>
      <c r="M17" s="4" t="str">
        <f>IFERROR(__xludf.DUMMYFUNCTION("""COMPUTED_VALUE"""),"Equips businesses with knowledge, insights, and tools to develop a software-first mindset that leverages the power of automation, AI, and congitive technologies.")</f>
        <v>Equips businesses with knowledge, insights, and tools to develop a software-first mindset that leverages the power of automation, AI, and congitive technologies.</v>
      </c>
    </row>
    <row r="18">
      <c r="A18" s="4" t="str">
        <f>IFERROR(__xludf.DUMMYFUNCTION("""COMPUTED_VALUE"""),"Rogers Cybersecure Catalyst, Toronto Metropolitan University")</f>
        <v>Rogers Cybersecure Catalyst, Toronto Metropolitan University</v>
      </c>
      <c r="B18" s="4" t="str">
        <f>IFERROR(__xludf.DUMMYFUNCTION("""COMPUTED_VALUE"""),"Brampton, ON")</f>
        <v>Brampton, ON</v>
      </c>
      <c r="C18" s="4" t="str">
        <f>IFERROR(__xludf.DUMMYFUNCTION("""COMPUTED_VALUE"""),"350 Victoria Street, Toronto, ON M5B 2K3")</f>
        <v>350 Victoria Street, Toronto, ON M5B 2K3</v>
      </c>
      <c r="D18" s="4">
        <f>IFERROR(__xludf.DUMMYFUNCTION("""COMPUTED_VALUE"""),43.6574)</f>
        <v>43.6574</v>
      </c>
      <c r="E18" s="4">
        <f>IFERROR(__xludf.DUMMYFUNCTION("""COMPUTED_VALUE"""),-79.3802)</f>
        <v>-79.3802</v>
      </c>
      <c r="F18" s="4" t="str">
        <f>IFERROR(__xludf.DUMMYFUNCTION("""COMPUTED_VALUE"""),"ON")</f>
        <v>ON</v>
      </c>
      <c r="G18" s="4" t="str">
        <f>IFERROR(__xludf.DUMMYFUNCTION("""COMPUTED_VALUE"""),"Accelerator/Incubator Programs")</f>
        <v>Accelerator/Incubator Programs</v>
      </c>
      <c r="H18" s="4" t="str">
        <f>IFERROR(__xludf.DUMMYFUNCTION("""COMPUTED_VALUE"""),"Cybersecurity training, fellowship program")</f>
        <v>Cybersecurity training, fellowship program</v>
      </c>
      <c r="I18" s="44" t="str">
        <f>IFERROR(__xludf.DUMMYFUNCTION("""COMPUTED_VALUE"""),"https://cybersecurecatalyst.ca/")</f>
        <v>https://cybersecurecatalyst.ca/</v>
      </c>
      <c r="J18" s="4" t="str">
        <f>IFERROR(__xludf.DUMMYFUNCTION("""COMPUTED_VALUE"""),"catalystpress@torontomu.ca")</f>
        <v>catalystpress@torontomu.ca</v>
      </c>
      <c r="K18" s="4" t="str">
        <f>IFERROR(__xludf.DUMMYFUNCTION("""COMPUTED_VALUE"""),"-")</f>
        <v>-</v>
      </c>
      <c r="L18" s="4" t="str">
        <f>IFERROR(__xludf.DUMMYFUNCTION("""COMPUTED_VALUE"""),"Has a contact form on site: https://cybersecurecatalyst.ca/contact-us/")</f>
        <v>Has a contact form on site: https://cybersecurecatalyst.ca/contact-us/</v>
      </c>
      <c r="M18" s="4" t="str">
        <f>IFERROR(__xludf.DUMMYFUNCTION("""COMPUTED_VALUE"""),"Rogers Cybersecure Catalyst is Toronto Metropolitan University’s national centre for training, innovation and collaboration in cybersecurity.")</f>
        <v>Rogers Cybersecure Catalyst is Toronto Metropolitan University’s national centre for training, innovation and collaboration in cybersecurity.</v>
      </c>
    </row>
    <row r="19">
      <c r="A19" s="4" t="str">
        <f>IFERROR(__xludf.DUMMYFUNCTION("""COMPUTED_VALUE"""),"Laurier LaunchPad (Wilfrid Laurier University)")</f>
        <v>Laurier LaunchPad (Wilfrid Laurier University)</v>
      </c>
      <c r="B19" s="4" t="str">
        <f>IFERROR(__xludf.DUMMYFUNCTION("""COMPUTED_VALUE"""),"Brantford, ON")</f>
        <v>Brantford, ON</v>
      </c>
      <c r="C19" s="4" t="str">
        <f>IFERROR(__xludf.DUMMYFUNCTION("""COMPUTED_VALUE"""),"67 Darling St, Brantford, ON N3T 2K6")</f>
        <v>67 Darling St, Brantford, ON N3T 2K6</v>
      </c>
      <c r="D19" s="4">
        <f>IFERROR(__xludf.DUMMYFUNCTION("""COMPUTED_VALUE"""),43.13943)</f>
        <v>43.13943</v>
      </c>
      <c r="E19" s="4">
        <f>IFERROR(__xludf.DUMMYFUNCTION("""COMPUTED_VALUE"""),-80.26564)</f>
        <v>-80.26564</v>
      </c>
      <c r="F19" s="4" t="str">
        <f>IFERROR(__xludf.DUMMYFUNCTION("""COMPUTED_VALUE"""),"ON")</f>
        <v>ON</v>
      </c>
      <c r="G19" s="4" t="str">
        <f>IFERROR(__xludf.DUMMYFUNCTION("""COMPUTED_VALUE"""),"Accelerator/Incubator Programs")</f>
        <v>Accelerator/Incubator Programs</v>
      </c>
      <c r="H19" s="4" t="str">
        <f>IFERROR(__xludf.DUMMYFUNCTION("""COMPUTED_VALUE"""),"Coaching, coworking, mentorship")</f>
        <v>Coaching, coworking, mentorship</v>
      </c>
      <c r="I19" s="44" t="str">
        <f>IFERROR(__xludf.DUMMYFUNCTION("""COMPUTED_VALUE"""),"https://students.wlu.ca/work-leadership-and-volunteering/entrepreneurship/launchpad-brantford/index.html")</f>
        <v>https://students.wlu.ca/work-leadership-and-volunteering/entrepreneurship/launchpad-brantford/index.html</v>
      </c>
      <c r="J19" s="4" t="str">
        <f>IFERROR(__xludf.DUMMYFUNCTION("""COMPUTED_VALUE"""),"startuplabbrantford@wlu.ca")</f>
        <v>startuplabbrantford@wlu.ca</v>
      </c>
      <c r="K19" s="4" t="str">
        <f>IFERROR(__xludf.DUMMYFUNCTION("""COMPUTED_VALUE"""),"-")</f>
        <v>-</v>
      </c>
      <c r="L19" s="4"/>
      <c r="M19" s="4" t="str">
        <f>IFERROR(__xludf.DUMMYFUNCTION("""COMPUTED_VALUE"""),"Supports Brantford &amp; Waterloo campuses Provides resources, expertise and networks Guides through the DIscovery, Idea, Build, and Growth Phases.")</f>
        <v>Supports Brantford &amp; Waterloo campuses Provides resources, expertise and networks Guides through the DIscovery, Idea, Build, and Growth Phases.</v>
      </c>
    </row>
    <row r="20">
      <c r="A20" s="4" t="str">
        <f>IFERROR(__xludf.DUMMYFUNCTION("""COMPUTED_VALUE"""),"SOAR Innovation")</f>
        <v>SOAR Innovation</v>
      </c>
      <c r="B20" s="4" t="str">
        <f>IFERROR(__xludf.DUMMYFUNCTION("""COMPUTED_VALUE"""),"Chatham, ON")</f>
        <v>Chatham, ON</v>
      </c>
      <c r="C20" s="4" t="str">
        <f>IFERROR(__xludf.DUMMYFUNCTION("""COMPUTED_VALUE"""),"202 King Street West Suite 300, Chatham, Ontario N7M 1E5")</f>
        <v>202 King Street West Suite 300, Chatham, Ontario N7M 1E5</v>
      </c>
      <c r="D20" s="4">
        <f>IFERROR(__xludf.DUMMYFUNCTION("""COMPUTED_VALUE"""),42.40527)</f>
        <v>42.40527</v>
      </c>
      <c r="E20" s="4">
        <f>IFERROR(__xludf.DUMMYFUNCTION("""COMPUTED_VALUE"""),-82.1878)</f>
        <v>-82.1878</v>
      </c>
      <c r="F20" s="4" t="str">
        <f>IFERROR(__xludf.DUMMYFUNCTION("""COMPUTED_VALUE"""),"ON")</f>
        <v>ON</v>
      </c>
      <c r="G20" s="4" t="str">
        <f>IFERROR(__xludf.DUMMYFUNCTION("""COMPUTED_VALUE"""),"Accelerator/Incubator Programs")</f>
        <v>Accelerator/Incubator Programs</v>
      </c>
      <c r="H20" s="4" t="str">
        <f>IFERROR(__xludf.DUMMYFUNCTION("""COMPUTED_VALUE"""),"Startup advisory, coworking, workshops")</f>
        <v>Startup advisory, coworking, workshops</v>
      </c>
      <c r="I20" s="44" t="str">
        <f>IFERROR(__xludf.DUMMYFUNCTION("""COMPUTED_VALUE"""),"https://soarinnovation.com/")</f>
        <v>https://soarinnovation.com/</v>
      </c>
      <c r="J20" s="4" t="str">
        <f>IFERROR(__xludf.DUMMYFUNCTION("""COMPUTED_VALUE"""),"info@soarinnovation.com")</f>
        <v>info@soarinnovation.com</v>
      </c>
      <c r="K20" s="4" t="str">
        <f>IFERROR(__xludf.DUMMYFUNCTION("""COMPUTED_VALUE"""),"519-397-3142")</f>
        <v>519-397-3142</v>
      </c>
      <c r="L20" s="4"/>
      <c r="M20" s="4" t="str">
        <f>IFERROR(__xludf.DUMMYFUNCTION("""COMPUTED_VALUE"""),"Not-for-profit, community centric organization that functions as an epicenter for entrepreneurship.")</f>
        <v>Not-for-profit, community centric organization that functions as an epicenter for entrepreneurship.</v>
      </c>
    </row>
    <row r="21" ht="15.75" customHeight="1">
      <c r="A21" s="4" t="str">
        <f>IFERROR(__xludf.DUMMYFUNCTION("""COMPUTED_VALUE"""),"Bioenterprise Canada")</f>
        <v>Bioenterprise Canada</v>
      </c>
      <c r="B21" s="4" t="str">
        <f>IFERROR(__xludf.DUMMYFUNCTION("""COMPUTED_VALUE"""),"Guelph, ON")</f>
        <v>Guelph, ON</v>
      </c>
      <c r="C21" s="4" t="str">
        <f>IFERROR(__xludf.DUMMYFUNCTION("""COMPUTED_VALUE"""),"120 Research Lane, Suite 202, Guelph, ON N1G 0B4")</f>
        <v>120 Research Lane, Suite 202, Guelph, ON N1G 0B4</v>
      </c>
      <c r="D21" s="4">
        <f>IFERROR(__xludf.DUMMYFUNCTION("""COMPUTED_VALUE"""),43.524)</f>
        <v>43.524</v>
      </c>
      <c r="E21" s="4">
        <f>IFERROR(__xludf.DUMMYFUNCTION("""COMPUTED_VALUE"""),-80.226)</f>
        <v>-80.226</v>
      </c>
      <c r="F21" s="4" t="str">
        <f>IFERROR(__xludf.DUMMYFUNCTION("""COMPUTED_VALUE"""),"ON")</f>
        <v>ON</v>
      </c>
      <c r="G21" s="4" t="str">
        <f>IFERROR(__xludf.DUMMYFUNCTION("""COMPUTED_VALUE"""),"Accelerator/Incubator Programs")</f>
        <v>Accelerator/Incubator Programs</v>
      </c>
      <c r="H21" s="4" t="str">
        <f>IFERROR(__xludf.DUMMYFUNCTION("""COMPUTED_VALUE"""),"Agri-tech commercialization, funding access, mentoring")</f>
        <v>Agri-tech commercialization, funding access, mentoring</v>
      </c>
      <c r="I21" s="44" t="str">
        <f>IFERROR(__xludf.DUMMYFUNCTION("""COMPUTED_VALUE"""),"https://bioenterprise.ca/")</f>
        <v>https://bioenterprise.ca/</v>
      </c>
      <c r="J21" s="4" t="str">
        <f>IFERROR(__xludf.DUMMYFUNCTION("""COMPUTED_VALUE"""),"info@bioenterprise.ca")</f>
        <v>info@bioenterprise.ca</v>
      </c>
      <c r="K21" s="4" t="str">
        <f>IFERROR(__xludf.DUMMYFUNCTION("""COMPUTED_VALUE"""),"519-821-2960")</f>
        <v>519-821-2960</v>
      </c>
      <c r="L21" s="4"/>
      <c r="M21" s="4" t="str">
        <f>IFERROR(__xludf.DUMMYFUNCTION("""COMPUTED_VALUE"""),"Dedicated to advancing good and agri-tech innovation across Canada.")</f>
        <v>Dedicated to advancing good and agri-tech innovation across Canada.</v>
      </c>
    </row>
    <row r="22" ht="15.75" customHeight="1">
      <c r="A22" s="4" t="str">
        <f>IFERROR(__xludf.DUMMYFUNCTION("""COMPUTED_VALUE"""),"Innovation Factory")</f>
        <v>Innovation Factory</v>
      </c>
      <c r="B22" s="4" t="str">
        <f>IFERROR(__xludf.DUMMYFUNCTION("""COMPUTED_VALUE"""),"Hamilton, ON")</f>
        <v>Hamilton, ON</v>
      </c>
      <c r="C22" s="4" t="str">
        <f>IFERROR(__xludf.DUMMYFUNCTION("""COMPUTED_VALUE"""),"175 Longwood Rd S #101A, Hamilton, ON L8P 0A1")</f>
        <v>175 Longwood Rd S #101A, Hamilton, ON L8P 0A1</v>
      </c>
      <c r="D22" s="4">
        <f>IFERROR(__xludf.DUMMYFUNCTION("""COMPUTED_VALUE"""),43.25689)</f>
        <v>43.25689</v>
      </c>
      <c r="E22" s="4">
        <f>IFERROR(__xludf.DUMMYFUNCTION("""COMPUTED_VALUE"""),-79.90091)</f>
        <v>-79.90091</v>
      </c>
      <c r="F22" s="4" t="str">
        <f>IFERROR(__xludf.DUMMYFUNCTION("""COMPUTED_VALUE"""),"ON")</f>
        <v>ON</v>
      </c>
      <c r="G22" s="4" t="str">
        <f>IFERROR(__xludf.DUMMYFUNCTION("""COMPUTED_VALUE"""),"Accelerator/Incubator Programs")</f>
        <v>Accelerator/Incubator Programs</v>
      </c>
      <c r="H22" s="4" t="str">
        <f>IFERROR(__xludf.DUMMYFUNCTION("""COMPUTED_VALUE"""),"Workshops, funding &amp; investment, IP programming, pitch competitions, early stage programming, peer networks")</f>
        <v>Workshops, funding &amp; investment, IP programming, pitch competitions, early stage programming, peer networks</v>
      </c>
      <c r="I22" s="44" t="str">
        <f>IFERROR(__xludf.DUMMYFUNCTION("""COMPUTED_VALUE"""),"https://innovationfactory.ca/")</f>
        <v>https://innovationfactory.ca/</v>
      </c>
      <c r="J22" s="4" t="str">
        <f>IFERROR(__xludf.DUMMYFUNCTION("""COMPUTED_VALUE"""),"info@innovationfactory.ca")</f>
        <v>info@innovationfactory.ca</v>
      </c>
      <c r="K22" s="4" t="str">
        <f>IFERROR(__xludf.DUMMYFUNCTION("""COMPUTED_VALUE"""),"905-667-2611")</f>
        <v>905-667-2611</v>
      </c>
      <c r="L22" s="4"/>
      <c r="M22" s="4" t="str">
        <f>IFERROR(__xludf.DUMMYFUNCTION("""COMPUTED_VALUE"""),"Elevates key indsutry sectors including advanced manufacturing, clean tech, IT, smart transportation, life sciences, health care, and social innovations.")</f>
        <v>Elevates key indsutry sectors including advanced manufacturing, clean tech, IT, smart transportation, life sciences, health care, and social innovations.</v>
      </c>
    </row>
    <row r="23" ht="15.75" customHeight="1">
      <c r="A23" s="4" t="str">
        <f>IFERROR(__xludf.DUMMYFUNCTION("""COMPUTED_VALUE"""),"The Forge: McMaster University")</f>
        <v>The Forge: McMaster University</v>
      </c>
      <c r="B23" s="4" t="str">
        <f>IFERROR(__xludf.DUMMYFUNCTION("""COMPUTED_VALUE"""),"Hamilton, ON")</f>
        <v>Hamilton, ON</v>
      </c>
      <c r="C23" s="4" t="str">
        <f>IFERROR(__xludf.DUMMYFUNCTION("""COMPUTED_VALUE"""),"175 Longwood Rd S Suite B21, Hamilton, ON L8P 0A1")</f>
        <v>175 Longwood Rd S Suite B21, Hamilton, ON L8P 0A1</v>
      </c>
      <c r="D23" s="4">
        <f>IFERROR(__xludf.DUMMYFUNCTION("""COMPUTED_VALUE"""),43.25689)</f>
        <v>43.25689</v>
      </c>
      <c r="E23" s="4">
        <f>IFERROR(__xludf.DUMMYFUNCTION("""COMPUTED_VALUE"""),-79.90091)</f>
        <v>-79.90091</v>
      </c>
      <c r="F23" s="4" t="str">
        <f>IFERROR(__xludf.DUMMYFUNCTION("""COMPUTED_VALUE"""),"ON")</f>
        <v>ON</v>
      </c>
      <c r="G23" s="4" t="str">
        <f>IFERROR(__xludf.DUMMYFUNCTION("""COMPUTED_VALUE"""),"Accelerator/Incubator Programs")</f>
        <v>Accelerator/Incubator Programs</v>
      </c>
      <c r="H23" s="4" t="str">
        <f>IFERROR(__xludf.DUMMYFUNCTION("""COMPUTED_VALUE"""),"Business acceleration, Tech startups, Entrepreneurship")</f>
        <v>Business acceleration, Tech startups, Entrepreneurship</v>
      </c>
      <c r="I23" s="44" t="str">
        <f>IFERROR(__xludf.DUMMYFUNCTION("""COMPUTED_VALUE"""),"https://theforge.mcmaster.ca/")</f>
        <v>https://theforge.mcmaster.ca/</v>
      </c>
      <c r="J23" s="4" t="str">
        <f>IFERROR(__xludf.DUMMYFUNCTION("""COMPUTED_VALUE"""),"info@theforge.mcmaster.ca")</f>
        <v>info@theforge.mcmaster.ca</v>
      </c>
      <c r="K23" s="4" t="str">
        <f>IFERROR(__xludf.DUMMYFUNCTION("""COMPUTED_VALUE"""),"905-525-9140 x. 24748")</f>
        <v>905-525-9140 x. 24748</v>
      </c>
      <c r="L23" s="4"/>
      <c r="M23" s="4" t="str">
        <f>IFERROR(__xludf.DUMMYFUNCTION("""COMPUTED_VALUE"""),"The Forge is the business incubator for McMaster University and the Hamilton, Greater Toronto, and Niagara Regions.")</f>
        <v>The Forge is the business incubator for McMaster University and the Hamilton, Greater Toronto, and Niagara Regions.</v>
      </c>
    </row>
    <row r="24" ht="15.75" customHeight="1">
      <c r="A24" s="4" t="str">
        <f>IFERROR(__xludf.DUMMYFUNCTION("""COMPUTED_VALUE"""),"Centre for Surgical Invention &amp; Innovation (CSii)")</f>
        <v>Centre for Surgical Invention &amp; Innovation (CSii)</v>
      </c>
      <c r="B24" s="4" t="str">
        <f>IFERROR(__xludf.DUMMYFUNCTION("""COMPUTED_VALUE"""),"Hamilton, ON")</f>
        <v>Hamilton, ON</v>
      </c>
      <c r="C24" s="4" t="str">
        <f>IFERROR(__xludf.DUMMYFUNCTION("""COMPUTED_VALUE"""),"50 Charlton Avenue East, Rm T2140, Hamilton, ON L8N 1Y3")</f>
        <v>50 Charlton Avenue East, Rm T2140, Hamilton, ON L8N 1Y3</v>
      </c>
      <c r="D24" s="4">
        <f>IFERROR(__xludf.DUMMYFUNCTION("""COMPUTED_VALUE"""),43.2488)</f>
        <v>43.2488</v>
      </c>
      <c r="E24" s="4">
        <f>IFERROR(__xludf.DUMMYFUNCTION("""COMPUTED_VALUE"""),-79.8708)</f>
        <v>-79.8708</v>
      </c>
      <c r="F24" s="4" t="str">
        <f>IFERROR(__xludf.DUMMYFUNCTION("""COMPUTED_VALUE"""),"ON")</f>
        <v>ON</v>
      </c>
      <c r="G24" s="4" t="str">
        <f>IFERROR(__xludf.DUMMYFUNCTION("""COMPUTED_VALUE"""),"Accelerator/Incubator Programs")</f>
        <v>Accelerator/Incubator Programs</v>
      </c>
      <c r="H24" s="4" t="str">
        <f>IFERROR(__xludf.DUMMYFUNCTION("""COMPUTED_VALUE"""),"Medical robotics and technology, innovation")</f>
        <v>Medical robotics and technology, innovation</v>
      </c>
      <c r="I24" s="44" t="str">
        <f>IFERROR(__xludf.DUMMYFUNCTION("""COMPUTED_VALUE"""),"https://www.csii.ca/")</f>
        <v>https://www.csii.ca/</v>
      </c>
      <c r="J24" s="4" t="str">
        <f>IFERROR(__xludf.DUMMYFUNCTION("""COMPUTED_VALUE"""),"dvivian@stjoes.ca")</f>
        <v>dvivian@stjoes.ca</v>
      </c>
      <c r="K24" s="4" t="str">
        <f>IFERROR(__xludf.DUMMYFUNCTION("""COMPUTED_VALUE"""),"905-746-8848")</f>
        <v>905-746-8848</v>
      </c>
      <c r="L24" s="4" t="str">
        <f>IFERROR(__xludf.DUMMYFUNCTION("""COMPUTED_VALUE"""),"Debra Vivian, Director of Communications")</f>
        <v>Debra Vivian, Director of Communications</v>
      </c>
      <c r="M24" s="4" t="str">
        <f>IFERROR(__xludf.DUMMYFUNCTION("""COMPUTED_VALUE"""),"Accelerator committed to enhancing the quality and access to healthcare for all Canadians through the development and commercialization of innovative medical robotic technologies and novel techniques.")</f>
        <v>Accelerator committed to enhancing the quality and access to healthcare for all Canadians through the development and commercialization of innovative medical robotic technologies and novel techniques.</v>
      </c>
    </row>
    <row r="25" ht="15.75" customHeight="1">
      <c r="A25" s="4" t="str">
        <f>IFERROR(__xludf.DUMMYFUNCTION("""COMPUTED_VALUE"""),"Velocity Incubator")</f>
        <v>Velocity Incubator</v>
      </c>
      <c r="B25" s="4" t="str">
        <f>IFERROR(__xludf.DUMMYFUNCTION("""COMPUTED_VALUE"""),"Kitchener, ON")</f>
        <v>Kitchener, ON</v>
      </c>
      <c r="C25" s="4" t="str">
        <f>IFERROR(__xludf.DUMMYFUNCTION("""COMPUTED_VALUE"""),"280 Joseph Street Suite 2000, Kitchener, ON N2G 4Z5")</f>
        <v>280 Joseph Street Suite 2000, Kitchener, ON N2G 4Z5</v>
      </c>
      <c r="D25" s="4">
        <f>IFERROR(__xludf.DUMMYFUNCTION("""COMPUTED_VALUE"""),43.45177)</f>
        <v>43.45177</v>
      </c>
      <c r="E25" s="4">
        <f>IFERROR(__xludf.DUMMYFUNCTION("""COMPUTED_VALUE"""),-80.50126)</f>
        <v>-80.50126</v>
      </c>
      <c r="F25" s="4" t="str">
        <f>IFERROR(__xludf.DUMMYFUNCTION("""COMPUTED_VALUE"""),"ON")</f>
        <v>ON</v>
      </c>
      <c r="G25" s="4" t="str">
        <f>IFERROR(__xludf.DUMMYFUNCTION("""COMPUTED_VALUE"""),"Accelerator/Incubator Programs")</f>
        <v>Accelerator/Incubator Programs</v>
      </c>
      <c r="H25" s="4" t="str">
        <f>IFERROR(__xludf.DUMMYFUNCTION("""COMPUTED_VALUE"""),"Tech startups, Innovation, Office, Hardware, Labs")</f>
        <v>Tech startups, Innovation, Office, Hardware, Labs</v>
      </c>
      <c r="I25" s="44" t="str">
        <f>IFERROR(__xludf.DUMMYFUNCTION("""COMPUTED_VALUE"""),"https://velocityincubator.ca/")</f>
        <v>https://velocityincubator.ca/</v>
      </c>
      <c r="J25" s="4" t="str">
        <f>IFERROR(__xludf.DUMMYFUNCTION("""COMPUTED_VALUE"""),"-")</f>
        <v>-</v>
      </c>
      <c r="K25" s="4" t="str">
        <f>IFERROR(__xludf.DUMMYFUNCTION("""COMPUTED_VALUE"""),"519-804-2240")</f>
        <v>519-804-2240</v>
      </c>
      <c r="L25" s="4" t="str">
        <f>IFERROR(__xludf.DUMMYFUNCTION("""COMPUTED_VALUE"""),"Has contact form on site.")</f>
        <v>Has contact form on site.</v>
      </c>
      <c r="M25" s="4" t="str">
        <f>IFERROR(__xludf.DUMMYFUNCTION("""COMPUTED_VALUE"""),"Helps founders in the critical early stages of business building. Strengthened by the University of Waterloo.")</f>
        <v>Helps founders in the critical early stages of business building. Strengthened by the University of Waterloo.</v>
      </c>
    </row>
    <row r="26" ht="15.75" customHeight="1">
      <c r="A26" s="4" t="str">
        <f>IFERROR(__xludf.DUMMYFUNCTION("""COMPUTED_VALUE"""),"Leap Junction (Fanshawe College)")</f>
        <v>Leap Junction (Fanshawe College)</v>
      </c>
      <c r="B26" s="4" t="str">
        <f>IFERROR(__xludf.DUMMYFUNCTION("""COMPUTED_VALUE"""),"London, ON")</f>
        <v>London, ON</v>
      </c>
      <c r="C26" s="4" t="str">
        <f>IFERROR(__xludf.DUMMYFUNCTION("""COMPUTED_VALUE"""),"1001 Fanshawe College Blvd, Room D1060, London, ON N5V 2A5")</f>
        <v>1001 Fanshawe College Blvd, Room D1060, London, ON N5V 2A5</v>
      </c>
      <c r="D26" s="4">
        <f>IFERROR(__xludf.DUMMYFUNCTION("""COMPUTED_VALUE"""),43.0149)</f>
        <v>43.0149</v>
      </c>
      <c r="E26" s="4">
        <f>IFERROR(__xludf.DUMMYFUNCTION("""COMPUTED_VALUE"""),-81.1996)</f>
        <v>-81.1996</v>
      </c>
      <c r="F26" s="4" t="str">
        <f>IFERROR(__xludf.DUMMYFUNCTION("""COMPUTED_VALUE"""),"ON")</f>
        <v>ON</v>
      </c>
      <c r="G26" s="4" t="str">
        <f>IFERROR(__xludf.DUMMYFUNCTION("""COMPUTED_VALUE"""),"Accelerator/Incubator Programs")</f>
        <v>Accelerator/Incubator Programs</v>
      </c>
      <c r="H26" s="4" t="str">
        <f>IFERROR(__xludf.DUMMYFUNCTION("""COMPUTED_VALUE"""),"Student entrepreneurship, mentorship, business planning")</f>
        <v>Student entrepreneurship, mentorship, business planning</v>
      </c>
      <c r="I26" s="44" t="str">
        <f>IFERROR(__xludf.DUMMYFUNCTION("""COMPUTED_VALUE"""),"https://www.leapjunction.ca/")</f>
        <v>https://www.leapjunction.ca/</v>
      </c>
      <c r="J26" s="4" t="str">
        <f>IFERROR(__xludf.DUMMYFUNCTION("""COMPUTED_VALUE"""),"leapjunction@fanshawec.ca")</f>
        <v>leapjunction@fanshawec.ca</v>
      </c>
      <c r="K26" s="4" t="str">
        <f>IFERROR(__xludf.DUMMYFUNCTION("""COMPUTED_VALUE"""),"519-452-4430 x. 16190")</f>
        <v>519-452-4430 x. 16190</v>
      </c>
      <c r="L26" s="4"/>
      <c r="M26" s="4" t="str">
        <f>IFERROR(__xludf.DUMMYFUNCTION("""COMPUTED_VALUE"""),"Entrepreneurial services for Fanshawe College students &amp; alumni.")</f>
        <v>Entrepreneurial services for Fanshawe College students &amp; alumni.</v>
      </c>
    </row>
    <row r="27" ht="15.75" customHeight="1">
      <c r="A27" s="4" t="str">
        <f>IFERROR(__xludf.DUMMYFUNCTION("""COMPUTED_VALUE"""),"Propel Entrepreneurship (Western University)")</f>
        <v>Propel Entrepreneurship (Western University)</v>
      </c>
      <c r="B27" s="4" t="str">
        <f>IFERROR(__xludf.DUMMYFUNCTION("""COMPUTED_VALUE"""),"London, ON")</f>
        <v>London, ON</v>
      </c>
      <c r="C27" s="4" t="str">
        <f>IFERROR(__xludf.DUMMYFUNCTION("""COMPUTED_VALUE"""),"1151 Richmond St, London, ON N6A 3K7")</f>
        <v>1151 Richmond St, London, ON N6A 3K7</v>
      </c>
      <c r="D27" s="4">
        <f>IFERROR(__xludf.DUMMYFUNCTION("""COMPUTED_VALUE"""),43.0096)</f>
        <v>43.0096</v>
      </c>
      <c r="E27" s="4">
        <f>IFERROR(__xludf.DUMMYFUNCTION("""COMPUTED_VALUE"""),-81.2737)</f>
        <v>-81.2737</v>
      </c>
      <c r="F27" s="4" t="str">
        <f>IFERROR(__xludf.DUMMYFUNCTION("""COMPUTED_VALUE"""),"ON")</f>
        <v>ON</v>
      </c>
      <c r="G27" s="4" t="str">
        <f>IFERROR(__xludf.DUMMYFUNCTION("""COMPUTED_VALUE"""),"Accelerator/Incubator Programs")</f>
        <v>Accelerator/Incubator Programs</v>
      </c>
      <c r="H27" s="4" t="str">
        <f>IFERROR(__xludf.DUMMYFUNCTION("""COMPUTED_VALUE"""),"Mentorship, workshops, co-working, pitch competitions")</f>
        <v>Mentorship, workshops, co-working, pitch competitions</v>
      </c>
      <c r="I27" s="44" t="str">
        <f>IFERROR(__xludf.DUMMYFUNCTION("""COMPUTED_VALUE"""),"https://entrepreneurship.uwo.ca/")</f>
        <v>https://entrepreneurship.uwo.ca/</v>
      </c>
      <c r="J27" s="4" t="str">
        <f>IFERROR(__xludf.DUMMYFUNCTION("""COMPUTED_VALUE"""),"eamorse@ivey.ca")</f>
        <v>eamorse@ivey.ca</v>
      </c>
      <c r="K27" s="4" t="str">
        <f>IFERROR(__xludf.DUMMYFUNCTION("""COMPUTED_VALUE"""),"-")</f>
        <v>-</v>
      </c>
      <c r="L27" s="4" t="str">
        <f>IFERROR(__xludf.DUMMYFUNCTION("""COMPUTED_VALUE"""),"Eric Morse, Executive Director")</f>
        <v>Eric Morse, Executive Director</v>
      </c>
      <c r="M27" s="4" t="str">
        <f>IFERROR(__xludf.DUMMYFUNCTION("""COMPUTED_VALUE"""),"Western University’s main entrepreneurship hub.")</f>
        <v>Western University’s main entrepreneurship hub.</v>
      </c>
    </row>
    <row r="28" ht="15.75" customHeight="1">
      <c r="A28" s="4" t="str">
        <f>IFERROR(__xludf.DUMMYFUNCTION("""COMPUTED_VALUE"""),"ICUBE UTM (University of Toronto-Mississauga)")</f>
        <v>ICUBE UTM (University of Toronto-Mississauga)</v>
      </c>
      <c r="B28" s="4" t="str">
        <f>IFERROR(__xludf.DUMMYFUNCTION("""COMPUTED_VALUE"""),"Mississauga, ON")</f>
        <v>Mississauga, ON</v>
      </c>
      <c r="C28" s="4" t="str">
        <f>IFERROR(__xludf.DUMMYFUNCTION("""COMPUTED_VALUE"""),"3359 Mississauga Rd, Mississauga, ON L5L 1C6")</f>
        <v>3359 Mississauga Rd, Mississauga, ON L5L 1C6</v>
      </c>
      <c r="D28" s="4">
        <f>IFERROR(__xludf.DUMMYFUNCTION("""COMPUTED_VALUE"""),43.5325)</f>
        <v>43.5325</v>
      </c>
      <c r="E28" s="4">
        <f>IFERROR(__xludf.DUMMYFUNCTION("""COMPUTED_VALUE"""),-79.6486)</f>
        <v>-79.6486</v>
      </c>
      <c r="F28" s="4" t="str">
        <f>IFERROR(__xludf.DUMMYFUNCTION("""COMPUTED_VALUE"""),"ON")</f>
        <v>ON</v>
      </c>
      <c r="G28" s="4" t="str">
        <f>IFERROR(__xludf.DUMMYFUNCTION("""COMPUTED_VALUE"""),"Accelerator/Incubator Programs")</f>
        <v>Accelerator/Incubator Programs</v>
      </c>
      <c r="H28" s="4" t="str">
        <f>IFERROR(__xludf.DUMMYFUNCTION("""COMPUTED_VALUE"""),"Coworking space, mentorship and support, training and programs, grants and resources")</f>
        <v>Coworking space, mentorship and support, training and programs, grants and resources</v>
      </c>
      <c r="I28" s="44" t="str">
        <f>IFERROR(__xludf.DUMMYFUNCTION("""COMPUTED_VALUE"""),"https://icubeutm.ca/")</f>
        <v>https://icubeutm.ca/</v>
      </c>
      <c r="J28" s="4" t="str">
        <f>IFERROR(__xludf.DUMMYFUNCTION("""COMPUTED_VALUE"""),"icube.utm@utoronto.ca")</f>
        <v>icube.utm@utoronto.ca</v>
      </c>
      <c r="K28" s="4" t="str">
        <f>IFERROR(__xludf.DUMMYFUNCTION("""COMPUTED_VALUE"""),"-")</f>
        <v>-</v>
      </c>
      <c r="L28" s="4"/>
      <c r="M28" s="4" t="str">
        <f>IFERROR(__xludf.DUMMYFUNCTION("""COMPUTED_VALUE"""),"Supports Social Entrepreneurs &amp; Early-Stage Startups at University of Toronto-Mississauga.")</f>
        <v>Supports Social Entrepreneurs &amp; Early-Stage Startups at University of Toronto-Mississauga.</v>
      </c>
    </row>
    <row r="29" ht="15.75" customHeight="1">
      <c r="A29" s="4" t="str">
        <f>IFERROR(__xludf.DUMMYFUNCTION("""COMPUTED_VALUE"""),"EDGE at Sheridan College")</f>
        <v>EDGE at Sheridan College</v>
      </c>
      <c r="B29" s="4" t="str">
        <f>IFERROR(__xludf.DUMMYFUNCTION("""COMPUTED_VALUE"""),"Mississauga, ON")</f>
        <v>Mississauga, ON</v>
      </c>
      <c r="C29" s="4" t="str">
        <f>IFERROR(__xludf.DUMMYFUNCTION("""COMPUTED_VALUE"""),"4226 Duke of York Blvd, Mississauga, ON L5B 0G5")</f>
        <v>4226 Duke of York Blvd, Mississauga, ON L5B 0G5</v>
      </c>
      <c r="D29" s="4">
        <f>IFERROR(__xludf.DUMMYFUNCTION("""COMPUTED_VALUE"""),43.5896)</f>
        <v>43.5896</v>
      </c>
      <c r="E29" s="4">
        <f>IFERROR(__xludf.DUMMYFUNCTION("""COMPUTED_VALUE"""),-79.6443)</f>
        <v>-79.6443</v>
      </c>
      <c r="F29" s="4" t="str">
        <f>IFERROR(__xludf.DUMMYFUNCTION("""COMPUTED_VALUE"""),"ON")</f>
        <v>ON</v>
      </c>
      <c r="G29" s="4" t="str">
        <f>IFERROR(__xludf.DUMMYFUNCTION("""COMPUTED_VALUE"""),"Accelerator/Incubator Programs")</f>
        <v>Accelerator/Incubator Programs</v>
      </c>
      <c r="H29" s="4" t="str">
        <f>IFERROR(__xludf.DUMMYFUNCTION("""COMPUTED_VALUE"""),"Membership, Programs, Workspace, Mentorship, Funding")</f>
        <v>Membership, Programs, Workspace, Mentorship, Funding</v>
      </c>
      <c r="I29" s="44" t="str">
        <f>IFERROR(__xludf.DUMMYFUNCTION("""COMPUTED_VALUE"""),"https://edge.sheridancollege.ca/")</f>
        <v>https://edge.sheridancollege.ca/</v>
      </c>
      <c r="J29" s="4" t="str">
        <f>IFERROR(__xludf.DUMMYFUNCTION("""COMPUTED_VALUE"""),"edge@sheridancollege.ca")</f>
        <v>edge@sheridancollege.ca</v>
      </c>
      <c r="K29" s="4" t="str">
        <f>IFERROR(__xludf.DUMMYFUNCTION("""COMPUTED_VALUE"""),"905-615-7955")</f>
        <v>905-615-7955</v>
      </c>
      <c r="L29" s="4"/>
      <c r="M29" s="4" t="str">
        <f>IFERROR(__xludf.DUMMYFUNCTION("""COMPUTED_VALUE"""),"Provides networks, resources, and expertise to turn ideas into impact. A Sheridan College initiative")</f>
        <v>Provides networks, resources, and expertise to turn ideas into impact. A Sheridan College initiative</v>
      </c>
    </row>
    <row r="30" ht="15.75" customHeight="1">
      <c r="A30" s="4" t="str">
        <f>IFERROR(__xludf.DUMMYFUNCTION("""COMPUTED_VALUE"""),"Brock LINC (Brock University)")</f>
        <v>Brock LINC (Brock University)</v>
      </c>
      <c r="B30" s="4" t="str">
        <f>IFERROR(__xludf.DUMMYFUNCTION("""COMPUTED_VALUE"""),"St. Catharines, ON")</f>
        <v>St. Catharines, ON</v>
      </c>
      <c r="C30" s="4" t="str">
        <f>IFERROR(__xludf.DUMMYFUNCTION("""COMPUTED_VALUE"""),"1812 Sir Isaac Brock Way, St. Catharines, ON L2S 3A1")</f>
        <v>1812 Sir Isaac Brock Way, St. Catharines, ON L2S 3A1</v>
      </c>
      <c r="D30" s="4">
        <f>IFERROR(__xludf.DUMMYFUNCTION("""COMPUTED_VALUE"""),43.11757)</f>
        <v>43.11757</v>
      </c>
      <c r="E30" s="4">
        <f>IFERROR(__xludf.DUMMYFUNCTION("""COMPUTED_VALUE"""),-79.24769)</f>
        <v>-79.24769</v>
      </c>
      <c r="F30" s="4" t="str">
        <f>IFERROR(__xludf.DUMMYFUNCTION("""COMPUTED_VALUE"""),"ON")</f>
        <v>ON</v>
      </c>
      <c r="G30" s="4" t="str">
        <f>IFERROR(__xludf.DUMMYFUNCTION("""COMPUTED_VALUE"""),"Accelerator/Incubator Programs")</f>
        <v>Accelerator/Incubator Programs</v>
      </c>
      <c r="H30" s="4" t="str">
        <f>IFERROR(__xludf.DUMMYFUNCTION("""COMPUTED_VALUE"""),"Idea validation, maker space, startup support")</f>
        <v>Idea validation, maker space, startup support</v>
      </c>
      <c r="I30" s="44" t="str">
        <f>IFERROR(__xludf.DUMMYFUNCTION("""COMPUTED_VALUE"""),"https://brocku.ca/linc/")</f>
        <v>https://brocku.ca/linc/</v>
      </c>
      <c r="J30" s="4" t="str">
        <f>IFERROR(__xludf.DUMMYFUNCTION("""COMPUTED_VALUE"""),"brockLINC@brocku.ca")</f>
        <v>brockLINC@brocku.ca</v>
      </c>
      <c r="K30" s="4" t="str">
        <f>IFERROR(__xludf.DUMMYFUNCTION("""COMPUTED_VALUE"""),"-")</f>
        <v>-</v>
      </c>
      <c r="L30" s="4"/>
      <c r="M30" s="4" t="str">
        <f>IFERROR(__xludf.DUMMYFUNCTION("""COMPUTED_VALUE"""),"Provides support for the Brock and Niagara communities. Support for research commercialization, entrepreneurship, and industry partnerships, with a focus on helping Brock ideas and technologies get to market.")</f>
        <v>Provides support for the Brock and Niagara communities. Support for research commercialization, entrepreneurship, and industry partnerships, with a focus on helping Brock ideas and technologies get to market.</v>
      </c>
    </row>
    <row r="31" ht="15.75" customHeight="1">
      <c r="A31" s="4" t="str">
        <f>IFERROR(__xludf.DUMMYFUNCTION("""COMPUTED_VALUE"""),"UTEST (University of Toronto)")</f>
        <v>UTEST (University of Toronto)</v>
      </c>
      <c r="B31" s="4" t="str">
        <f>IFERROR(__xludf.DUMMYFUNCTION("""COMPUTED_VALUE"""),"Toronto, ON")</f>
        <v>Toronto, ON</v>
      </c>
      <c r="C31" s="4" t="str">
        <f>IFERROR(__xludf.DUMMYFUNCTION("""COMPUTED_VALUE"""),"108 College Street, Suite W680, Toronto, ON M5G 0C6")</f>
        <v>108 College Street, Suite W680, Toronto, ON M5G 0C6</v>
      </c>
      <c r="D31" s="4">
        <f>IFERROR(__xludf.DUMMYFUNCTION("""COMPUTED_VALUE"""),43.6593)</f>
        <v>43.6593</v>
      </c>
      <c r="E31" s="4">
        <f>IFERROR(__xludf.DUMMYFUNCTION("""COMPUTED_VALUE"""),-79.3906)</f>
        <v>-79.3906</v>
      </c>
      <c r="F31" s="4" t="str">
        <f>IFERROR(__xludf.DUMMYFUNCTION("""COMPUTED_VALUE"""),"ON")</f>
        <v>ON</v>
      </c>
      <c r="G31" s="4" t="str">
        <f>IFERROR(__xludf.DUMMYFUNCTION("""COMPUTED_VALUE"""),"Accelerator/Incubator Programs")</f>
        <v>Accelerator/Incubator Programs</v>
      </c>
      <c r="H31" s="4" t="str">
        <f>IFERROR(__xludf.DUMMYFUNCTION("""COMPUTED_VALUE"""),"Early-stage deep tech &amp; research startups, provides investment capital, mentoring, business strategy, and incubatino space.")</f>
        <v>Early-stage deep tech &amp; research startups, provides investment capital, mentoring, business strategy, and incubatino space.</v>
      </c>
      <c r="I31" s="44" t="str">
        <f>IFERROR(__xludf.DUMMYFUNCTION("""COMPUTED_VALUE"""),"https://utest.to/")</f>
        <v>https://utest.to/</v>
      </c>
      <c r="J31" s="4" t="str">
        <f>IFERROR(__xludf.DUMMYFUNCTION("""COMPUTED_VALUE"""),"kurtis.scissons@utoronto.ca")</f>
        <v>kurtis.scissons@utoronto.ca</v>
      </c>
      <c r="K31" s="4" t="str">
        <f>IFERROR(__xludf.DUMMYFUNCTION("""COMPUTED_VALUE"""),"-")</f>
        <v>-</v>
      </c>
      <c r="L31" s="4" t="str">
        <f>IFERROR(__xludf.DUMMYFUNCTION("""COMPUTED_VALUE"""),"Kurtis Scissons, Director")</f>
        <v>Kurtis Scissons, Director</v>
      </c>
      <c r="M31" s="4" t="str">
        <f>IFERROR(__xludf.DUMMYFUNCTION("""COMPUTED_VALUE"""),"Provides support to University of Toronto entrepreneurs to create research-based companies. In partnership with Toronto Innovation Acceleration Partners (TIAP)")</f>
        <v>Provides support to University of Toronto entrepreneurs to create research-based companies. In partnership with Toronto Innovation Acceleration Partners (TIAP)</v>
      </c>
    </row>
    <row r="32" ht="15.75" customHeight="1">
      <c r="A32" s="4" t="str">
        <f>IFERROR(__xludf.DUMMYFUNCTION("""COMPUTED_VALUE"""),"Humber Centre for Entrepreneurship")</f>
        <v>Humber Centre for Entrepreneurship</v>
      </c>
      <c r="B32" s="4" t="str">
        <f>IFERROR(__xludf.DUMMYFUNCTION("""COMPUTED_VALUE"""),"Toronto, ON")</f>
        <v>Toronto, ON</v>
      </c>
      <c r="C32" s="4" t="str">
        <f>IFERROR(__xludf.DUMMYFUNCTION("""COMPUTED_VALUE"""),"205 Humber College Blvd, Toronto, Ontario M9W 5L7")</f>
        <v>205 Humber College Blvd, Toronto, Ontario M9W 5L7</v>
      </c>
      <c r="D32" s="4">
        <f>IFERROR(__xludf.DUMMYFUNCTION("""COMPUTED_VALUE"""),43.72928)</f>
        <v>43.72928</v>
      </c>
      <c r="E32" s="4">
        <f>IFERROR(__xludf.DUMMYFUNCTION("""COMPUTED_VALUE"""),-79.606714)</f>
        <v>-79.606714</v>
      </c>
      <c r="F32" s="4" t="str">
        <f>IFERROR(__xludf.DUMMYFUNCTION("""COMPUTED_VALUE"""),"ON")</f>
        <v>ON</v>
      </c>
      <c r="G32" s="4" t="str">
        <f>IFERROR(__xludf.DUMMYFUNCTION("""COMPUTED_VALUE"""),"Accelerator/Incubator Programs")</f>
        <v>Accelerator/Incubator Programs</v>
      </c>
      <c r="H32" s="4" t="str">
        <f>IFERROR(__xludf.DUMMYFUNCTION("""COMPUTED_VALUE"""),"Student startups, bootcamps, co-working")</f>
        <v>Student startups, bootcamps, co-working</v>
      </c>
      <c r="I32" s="44" t="str">
        <f>IFERROR(__xludf.DUMMYFUNCTION("""COMPUTED_VALUE"""),"https://humber.ca/cfe/")</f>
        <v>https://humber.ca/cfe/</v>
      </c>
      <c r="J32" s="4" t="str">
        <f>IFERROR(__xludf.DUMMYFUNCTION("""COMPUTED_VALUE"""),"cfe@humber.ca")</f>
        <v>cfe@humber.ca</v>
      </c>
      <c r="K32" s="4" t="str">
        <f>IFERROR(__xludf.DUMMYFUNCTION("""COMPUTED_VALUE"""),"-")</f>
        <v>-</v>
      </c>
      <c r="L32" s="4"/>
      <c r="M32" s="4" t="str">
        <f>IFERROR(__xludf.DUMMYFUNCTION("""COMPUTED_VALUE"""),"In collaboration with Humber's Centres of Innovation Netword, we provide interdisciplinary learning opportunities that equip students with strategic problem-solving skills and foster innovative thinking.")</f>
        <v>In collaboration with Humber's Centres of Innovation Netword, we provide interdisciplinary learning opportunities that equip students with strategic problem-solving skills and foster innovative thinking.</v>
      </c>
    </row>
    <row r="33" ht="15.75" customHeight="1">
      <c r="A33" s="4" t="str">
        <f>IFERROR(__xludf.DUMMYFUNCTION("""COMPUTED_VALUE"""),"TMU Social Ventures Zone (TMU)")</f>
        <v>TMU Social Ventures Zone (TMU)</v>
      </c>
      <c r="B33" s="4" t="str">
        <f>IFERROR(__xludf.DUMMYFUNCTION("""COMPUTED_VALUE"""),"Toronto, ON")</f>
        <v>Toronto, ON</v>
      </c>
      <c r="C33" s="4" t="str">
        <f>IFERROR(__xludf.DUMMYFUNCTION("""COMPUTED_VALUE"""),"Toronto Metropolitan University KHS 45, 350 Victoria St, Toronto, ON M5B 2K3")</f>
        <v>Toronto Metropolitan University KHS 45, 350 Victoria St, Toronto, ON M5B 2K3</v>
      </c>
      <c r="D33" s="4">
        <f>IFERROR(__xludf.DUMMYFUNCTION("""COMPUTED_VALUE"""),43.6583)</f>
        <v>43.6583</v>
      </c>
      <c r="E33" s="4">
        <f>IFERROR(__xludf.DUMMYFUNCTION("""COMPUTED_VALUE"""),-79.378)</f>
        <v>-79.378</v>
      </c>
      <c r="F33" s="4" t="str">
        <f>IFERROR(__xludf.DUMMYFUNCTION("""COMPUTED_VALUE"""),"ON")</f>
        <v>ON</v>
      </c>
      <c r="G33" s="4" t="str">
        <f>IFERROR(__xludf.DUMMYFUNCTION("""COMPUTED_VALUE"""),"Accelerator/Incubator Programs")</f>
        <v>Accelerator/Incubator Programs</v>
      </c>
      <c r="H33" s="4" t="str">
        <f>IFERROR(__xludf.DUMMYFUNCTION("""COMPUTED_VALUE"""),"Social entrepreneurship, mentorship, funding, work space")</f>
        <v>Social entrepreneurship, mentorship, funding, work space</v>
      </c>
      <c r="I33" s="44" t="str">
        <f>IFERROR(__xludf.DUMMYFUNCTION("""COMPUTED_VALUE"""),"https://www.torontomu.ca/svz/")</f>
        <v>https://www.torontomu.ca/svz/</v>
      </c>
      <c r="J33" s="4" t="str">
        <f>IFERROR(__xludf.DUMMYFUNCTION("""COMPUTED_VALUE"""),"socialventures@torontomu.ca")</f>
        <v>socialventures@torontomu.ca</v>
      </c>
      <c r="K33" s="4" t="str">
        <f>IFERROR(__xludf.DUMMYFUNCTION("""COMPUTED_VALUE"""),"416-979-5000 x. 557255")</f>
        <v>416-979-5000 x. 557255</v>
      </c>
      <c r="L33" s="4"/>
      <c r="M33" s="4" t="str">
        <f>IFERROR(__xludf.DUMMYFUNCTION("""COMPUTED_VALUE"""),"Work with innovators to develop their ventures, supporting them with coaching, training, work space, and funding opportunities.")</f>
        <v>Work with innovators to develop their ventures, supporting them with coaching, training, work space, and funding opportunities.</v>
      </c>
    </row>
    <row r="34" ht="15.75" customHeight="1">
      <c r="A34" s="4" t="str">
        <f>IFERROR(__xludf.DUMMYFUNCTION("""COMPUTED_VALUE"""),"MaRS Discovery District - Health Sciences")</f>
        <v>MaRS Discovery District - Health Sciences</v>
      </c>
      <c r="B34" s="4" t="str">
        <f>IFERROR(__xludf.DUMMYFUNCTION("""COMPUTED_VALUE"""),"Toronto, ON")</f>
        <v>Toronto, ON</v>
      </c>
      <c r="C34" s="4" t="str">
        <f>IFERROR(__xludf.DUMMYFUNCTION("""COMPUTED_VALUE"""),"101 S. Washington Square Suite 900, Lansing, MI 48933")</f>
        <v>101 S. Washington Square Suite 900, Lansing, MI 48933</v>
      </c>
      <c r="D34" s="4">
        <f>IFERROR(__xludf.DUMMYFUNCTION("""COMPUTED_VALUE"""),42.7333)</f>
        <v>42.7333</v>
      </c>
      <c r="E34" s="4">
        <f>IFERROR(__xludf.DUMMYFUNCTION("""COMPUTED_VALUE"""),-84.5518)</f>
        <v>-84.5518</v>
      </c>
      <c r="F34" s="4" t="str">
        <f>IFERROR(__xludf.DUMMYFUNCTION("""COMPUTED_VALUE"""),"ON")</f>
        <v>ON</v>
      </c>
      <c r="G34" s="4" t="str">
        <f>IFERROR(__xludf.DUMMYFUNCTION("""COMPUTED_VALUE"""),"Accelerator/Incubator Programs")</f>
        <v>Accelerator/Incubator Programs</v>
      </c>
      <c r="H34" s="4" t="str">
        <f>IFERROR(__xludf.DUMMYFUNCTION("""COMPUTED_VALUE"""),"Health innovation support, funding navigation, commercialization acceleration.")</f>
        <v>Health innovation support, funding navigation, commercialization acceleration.</v>
      </c>
      <c r="I34" s="44" t="str">
        <f>IFERROR(__xludf.DUMMYFUNCTION("""COMPUTED_VALUE"""),"https://www.marsdd.com/our-sectors/health/")</f>
        <v>https://www.marsdd.com/our-sectors/health/</v>
      </c>
      <c r="J34" s="4" t="str">
        <f>IFERROR(__xludf.DUMMYFUNCTION("""COMPUTED_VALUE"""),"community@marsdd.com")</f>
        <v>community@marsdd.com</v>
      </c>
      <c r="K34" s="4" t="str">
        <f>IFERROR(__xludf.DUMMYFUNCTION("""COMPUTED_VALUE"""),"416-673-8100")</f>
        <v>416-673-8100</v>
      </c>
      <c r="L34" s="4"/>
      <c r="M34" s="4" t="str">
        <f>IFERROR(__xludf.DUMMYFUNCTION("""COMPUTED_VALUE"""),"MaRS Health sciences connects innovators with capital, industry expertise and networks, helping ventures scale faster and make global impact.")</f>
        <v>MaRS Health sciences connects innovators with capital, industry expertise and networks, helping ventures scale faster and make global impact.</v>
      </c>
    </row>
    <row r="35" ht="15.75" customHeight="1">
      <c r="A35" s="4" t="str">
        <f>IFERROR(__xludf.DUMMYFUNCTION("""COMPUTED_VALUE"""),"Toronto Business Development Centre (TBDC)")</f>
        <v>Toronto Business Development Centre (TBDC)</v>
      </c>
      <c r="B35" s="4" t="str">
        <f>IFERROR(__xludf.DUMMYFUNCTION("""COMPUTED_VALUE"""),"Toronto, ON")</f>
        <v>Toronto, ON</v>
      </c>
      <c r="C35" s="4" t="str">
        <f>IFERROR(__xludf.DUMMYFUNCTION("""COMPUTED_VALUE"""),"111 Peter St, 9th Floor, Suite 902, Toronto, ON M5V 2H1")</f>
        <v>111 Peter St, 9th Floor, Suite 902, Toronto, ON M5V 2H1</v>
      </c>
      <c r="D35" s="4">
        <f>IFERROR(__xludf.DUMMYFUNCTION("""COMPUTED_VALUE"""),43.6479)</f>
        <v>43.6479</v>
      </c>
      <c r="E35" s="4">
        <f>IFERROR(__xludf.DUMMYFUNCTION("""COMPUTED_VALUE"""),-79.3925)</f>
        <v>-79.3925</v>
      </c>
      <c r="F35" s="4" t="str">
        <f>IFERROR(__xludf.DUMMYFUNCTION("""COMPUTED_VALUE"""),"ON")</f>
        <v>ON</v>
      </c>
      <c r="G35" s="4" t="str">
        <f>IFERROR(__xludf.DUMMYFUNCTION("""COMPUTED_VALUE"""),"Accelerator/Incubator Programs")</f>
        <v>Accelerator/Incubator Programs</v>
      </c>
      <c r="H35" s="4" t="str">
        <f>IFERROR(__xludf.DUMMYFUNCTION("""COMPUTED_VALUE"""),"Startup training, advisory services, access to funding")</f>
        <v>Startup training, advisory services, access to funding</v>
      </c>
      <c r="I35" s="44" t="str">
        <f>IFERROR(__xludf.DUMMYFUNCTION("""COMPUTED_VALUE"""),"https://tbdc.com/")</f>
        <v>https://tbdc.com/</v>
      </c>
      <c r="J35" s="4" t="str">
        <f>IFERROR(__xludf.DUMMYFUNCTION("""COMPUTED_VALUE"""),"-")</f>
        <v>-</v>
      </c>
      <c r="K35" s="4" t="str">
        <f>IFERROR(__xludf.DUMMYFUNCTION("""COMPUTED_VALUE"""),"416-345-9437")</f>
        <v>416-345-9437</v>
      </c>
      <c r="L35" s="4"/>
      <c r="M35" s="4" t="str">
        <f>IFERROR(__xludf.DUMMYFUNCTION("""COMPUTED_VALUE"""),"Non-profit multi-sector incubator set up in 1990 by the City of Toronto, that brings 35 years of experience in building businesses and business networks in Ontario.")</f>
        <v>Non-profit multi-sector incubator set up in 1990 by the City of Toronto, that brings 35 years of experience in building businesses and business networks in Ontario.</v>
      </c>
    </row>
    <row r="36" ht="15.75" customHeight="1">
      <c r="A36" s="4" t="str">
        <f>IFERROR(__xludf.DUMMYFUNCTION("""COMPUTED_VALUE"""),"DMZ ")</f>
        <v>DMZ </v>
      </c>
      <c r="B36" s="4" t="str">
        <f>IFERROR(__xludf.DUMMYFUNCTION("""COMPUTED_VALUE"""),"Toronto, ON")</f>
        <v>Toronto, ON</v>
      </c>
      <c r="C36" s="4" t="str">
        <f>IFERROR(__xludf.DUMMYFUNCTION("""COMPUTED_VALUE"""),"10 Dundas Street East, 6th Floor, Toronto, ON M5B 2G9")</f>
        <v>10 Dundas Street East, 6th Floor, Toronto, ON M5B 2G9</v>
      </c>
      <c r="D36" s="4">
        <f>IFERROR(__xludf.DUMMYFUNCTION("""COMPUTED_VALUE"""),43.6574)</f>
        <v>43.6574</v>
      </c>
      <c r="E36" s="4">
        <f>IFERROR(__xludf.DUMMYFUNCTION("""COMPUTED_VALUE"""),-79.3802)</f>
        <v>-79.3802</v>
      </c>
      <c r="F36" s="4" t="str">
        <f>IFERROR(__xludf.DUMMYFUNCTION("""COMPUTED_VALUE"""),"ON")</f>
        <v>ON</v>
      </c>
      <c r="G36" s="4" t="str">
        <f>IFERROR(__xludf.DUMMYFUNCTION("""COMPUTED_VALUE"""),"Accelerator/Incubator Programs")</f>
        <v>Accelerator/Incubator Programs</v>
      </c>
      <c r="H36" s="4" t="str">
        <f>IFERROR(__xludf.DUMMYFUNCTION("""COMPUTED_VALUE"""),"Startup acceleration, funding access, mentorship, pitch competitions")</f>
        <v>Startup acceleration, funding access, mentorship, pitch competitions</v>
      </c>
      <c r="I36" s="44" t="str">
        <f>IFERROR(__xludf.DUMMYFUNCTION("""COMPUTED_VALUE"""),"https://dmz.torontomu.ca/")</f>
        <v>https://dmz.torontomu.ca/</v>
      </c>
      <c r="J36" s="4" t="str">
        <f>IFERROR(__xludf.DUMMYFUNCTION("""COMPUTED_VALUE"""),"dmz@torontomu.ca")</f>
        <v>dmz@torontomu.ca</v>
      </c>
      <c r="K36" s="4" t="str">
        <f>IFERROR(__xludf.DUMMYFUNCTION("""COMPUTED_VALUE"""),"416-979-5000 x. 552072")</f>
        <v>416-979-5000 x. 552072</v>
      </c>
      <c r="L36" s="4"/>
      <c r="M36" s="4" t="str">
        <f>IFERROR(__xludf.DUMMYFUNCTION("""COMPUTED_VALUE"""),"Tech incubator and global startup ecosystem that helps founders build high-impact ventures. Supports entrepreneurship at every stage, from early ideation to international expansion.")</f>
        <v>Tech incubator and global startup ecosystem that helps founders build high-impact ventures. Supports entrepreneurship at every stage, from early ideation to international expansion.</v>
      </c>
    </row>
    <row r="37" ht="15.75" customHeight="1">
      <c r="A37" s="4" t="str">
        <f>IFERROR(__xludf.DUMMYFUNCTION("""COMPUTED_VALUE"""),"Creative Destruction Lab (CDL)")</f>
        <v>Creative Destruction Lab (CDL)</v>
      </c>
      <c r="B37" s="4" t="str">
        <f>IFERROR(__xludf.DUMMYFUNCTION("""COMPUTED_VALUE"""),"Toronto, ON")</f>
        <v>Toronto, ON</v>
      </c>
      <c r="C37" s="4" t="str">
        <f>IFERROR(__xludf.DUMMYFUNCTION("""COMPUTED_VALUE"""),"Rotman School of Management, 105 St George St, Toronto, ON M5S 3E6")</f>
        <v>Rotman School of Management, 105 St George St, Toronto, ON M5S 3E6</v>
      </c>
      <c r="D37" s="4">
        <f>IFERROR(__xludf.DUMMYFUNCTION("""COMPUTED_VALUE"""),43.6653)</f>
        <v>43.6653</v>
      </c>
      <c r="E37" s="4">
        <f>IFERROR(__xludf.DUMMYFUNCTION("""COMPUTED_VALUE"""),-79.3983)</f>
        <v>-79.3983</v>
      </c>
      <c r="F37" s="4" t="str">
        <f>IFERROR(__xludf.DUMMYFUNCTION("""COMPUTED_VALUE"""),"ON")</f>
        <v>ON</v>
      </c>
      <c r="G37" s="4" t="str">
        <f>IFERROR(__xludf.DUMMYFUNCTION("""COMPUTED_VALUE"""),"Accelerator/Incubator Programs")</f>
        <v>Accelerator/Incubator Programs</v>
      </c>
      <c r="H37" s="4" t="str">
        <f>IFERROR(__xludf.DUMMYFUNCTION("""COMPUTED_VALUE"""),"Venture acceleration for science-based startups mentorship")</f>
        <v>Venture acceleration for science-based startups mentorship</v>
      </c>
      <c r="I37" s="44" t="str">
        <f>IFERROR(__xludf.DUMMYFUNCTION("""COMPUTED_VALUE"""),"https://www.creativedestructionlab.com/")</f>
        <v>https://www.creativedestructionlab.com/</v>
      </c>
      <c r="J37" s="4" t="str">
        <f>IFERROR(__xludf.DUMMYFUNCTION("""COMPUTED_VALUE"""),"smallbusiness@toronto.ca")</f>
        <v>smallbusiness@toronto.ca</v>
      </c>
      <c r="K37" s="4" t="str">
        <f>IFERROR(__xludf.DUMMYFUNCTION("""COMPUTED_VALUE"""),"416-397-7220")</f>
        <v>416-397-7220</v>
      </c>
      <c r="L37" s="4"/>
      <c r="M37" s="4" t="str">
        <f>IFERROR(__xludf.DUMMYFUNCTION("""COMPUTED_VALUE"""),"Non-profit organization that delivers an objectives-based program for massively scalable, seed-stage, science and technology based companies.")</f>
        <v>Non-profit organization that delivers an objectives-based program for massively scalable, seed-stage, science and technology based companies.</v>
      </c>
    </row>
    <row r="38" ht="15.75" customHeight="1">
      <c r="A38" s="4" t="str">
        <f>IFERROR(__xludf.DUMMYFUNCTION("""COMPUTED_VALUE"""),"The Accelerator Centre")</f>
        <v>The Accelerator Centre</v>
      </c>
      <c r="B38" s="4" t="str">
        <f>IFERROR(__xludf.DUMMYFUNCTION("""COMPUTED_VALUE"""),"Waterloo, ON")</f>
        <v>Waterloo, ON</v>
      </c>
      <c r="C38" s="4" t="str">
        <f>IFERROR(__xludf.DUMMYFUNCTION("""COMPUTED_VALUE"""),"295 Hagey Blvd, Waterloo, ON N2L 6R5")</f>
        <v>295 Hagey Blvd, Waterloo, ON N2L 6R5</v>
      </c>
      <c r="D38" s="4">
        <f>IFERROR(__xludf.DUMMYFUNCTION("""COMPUTED_VALUE"""),43.477384)</f>
        <v>43.477384</v>
      </c>
      <c r="E38" s="4">
        <f>IFERROR(__xludf.DUMMYFUNCTION("""COMPUTED_VALUE"""),-80.549063)</f>
        <v>-80.549063</v>
      </c>
      <c r="F38" s="4" t="str">
        <f>IFERROR(__xludf.DUMMYFUNCTION("""COMPUTED_VALUE"""),"ON")</f>
        <v>ON</v>
      </c>
      <c r="G38" s="4" t="str">
        <f>IFERROR(__xludf.DUMMYFUNCTION("""COMPUTED_VALUE"""),"Accelerator/Incubator Programs")</f>
        <v>Accelerator/Incubator Programs</v>
      </c>
      <c r="H38" s="4" t="str">
        <f>IFERROR(__xludf.DUMMYFUNCTION("""COMPUTED_VALUE"""),"Startup acceleration, mentorship")</f>
        <v>Startup acceleration, mentorship</v>
      </c>
      <c r="I38" s="44" t="str">
        <f>IFERROR(__xludf.DUMMYFUNCTION("""COMPUTED_VALUE"""),"https://www.acceleratorcentre.com/")</f>
        <v>https://www.acceleratorcentre.com/</v>
      </c>
      <c r="J38" s="4" t="str">
        <f>IFERROR(__xludf.DUMMYFUNCTION("""COMPUTED_VALUE"""),"info@acceleratorcentre.com")</f>
        <v>info@acceleratorcentre.com</v>
      </c>
      <c r="K38" s="4" t="str">
        <f>IFERROR(__xludf.DUMMYFUNCTION("""COMPUTED_VALUE"""),"519-342-2400")</f>
        <v>519-342-2400</v>
      </c>
      <c r="L38" s="4"/>
      <c r="M38" s="4" t="str">
        <f>IFERROR(__xludf.DUMMYFUNCTION("""COMPUTED_VALUE"""),"Supports startups, provides mentorships, access to capital, networks, and platforms.")</f>
        <v>Supports startups, provides mentorships, access to capital, networks, and platforms.</v>
      </c>
    </row>
    <row r="39" ht="15.75" customHeight="1">
      <c r="A39" s="4" t="str">
        <f>IFERROR(__xludf.DUMMYFUNCTION("""COMPUTED_VALUE"""),"Quantum Valley Ideas Lab")</f>
        <v>Quantum Valley Ideas Lab</v>
      </c>
      <c r="B39" s="4" t="str">
        <f>IFERROR(__xludf.DUMMYFUNCTION("""COMPUTED_VALUE"""),"Waterloo, ON")</f>
        <v>Waterloo, ON</v>
      </c>
      <c r="C39" s="4" t="str">
        <f>IFERROR(__xludf.DUMMYFUNCTION("""COMPUTED_VALUE"""),"Research Advancement Centre II, 485 Wes Graham Way, Waterloo, ON N2L 0A7")</f>
        <v>Research Advancement Centre II, 485 Wes Graham Way, Waterloo, ON N2L 0A7</v>
      </c>
      <c r="D39" s="4">
        <f>IFERROR(__xludf.DUMMYFUNCTION("""COMPUTED_VALUE"""),43.4784)</f>
        <v>43.4784</v>
      </c>
      <c r="E39" s="4">
        <f>IFERROR(__xludf.DUMMYFUNCTION("""COMPUTED_VALUE"""),-80.5556)</f>
        <v>-80.5556</v>
      </c>
      <c r="F39" s="4" t="str">
        <f>IFERROR(__xludf.DUMMYFUNCTION("""COMPUTED_VALUE"""),"ON")</f>
        <v>ON</v>
      </c>
      <c r="G39" s="4" t="str">
        <f>IFERROR(__xludf.DUMMYFUNCTION("""COMPUTED_VALUE"""),"Accelerator/Incubator Programs")</f>
        <v>Accelerator/Incubator Programs</v>
      </c>
      <c r="H39" s="4" t="str">
        <f>IFERROR(__xludf.DUMMYFUNCTION("""COMPUTED_VALUE"""),"Quantum computing, research")</f>
        <v>Quantum computing, research</v>
      </c>
      <c r="I39" s="44" t="str">
        <f>IFERROR(__xludf.DUMMYFUNCTION("""COMPUTED_VALUE"""),"https://qvideaslab.ca/")</f>
        <v>https://qvideaslab.ca/</v>
      </c>
      <c r="J39" s="4" t="str">
        <f>IFERROR(__xludf.DUMMYFUNCTION("""COMPUTED_VALUE"""),"info@qvil.ca")</f>
        <v>info@qvil.ca</v>
      </c>
      <c r="K39" s="4" t="str">
        <f>IFERROR(__xludf.DUMMYFUNCTION("""COMPUTED_VALUE"""),"519-589-6327")</f>
        <v>519-589-6327</v>
      </c>
      <c r="L39" s="4"/>
      <c r="M39" s="4" t="str">
        <f>IFERROR(__xludf.DUMMYFUNCTION("""COMPUTED_VALUE"""),"Independent research laboratory in Waterloo, Ontario, with a mission to accelerate the commercialization of quantum technology for the economic and societal benefit of Canada.")</f>
        <v>Independent research laboratory in Waterloo, Ontario, with a mission to accelerate the commercialization of quantum technology for the economic and societal benefit of Canada.</v>
      </c>
    </row>
    <row r="40" ht="15.75" customHeight="1">
      <c r="A40" s="4" t="str">
        <f>IFERROR(__xludf.DUMMYFUNCTION("""COMPUTED_VALUE"""),"WEtech Alliance")</f>
        <v>WEtech Alliance</v>
      </c>
      <c r="B40" s="4" t="str">
        <f>IFERROR(__xludf.DUMMYFUNCTION("""COMPUTED_VALUE"""),"Windsor, ON")</f>
        <v>Windsor, ON</v>
      </c>
      <c r="C40" s="4" t="str">
        <f>IFERROR(__xludf.DUMMYFUNCTION("""COMPUTED_VALUE"""),"167 Ferry Street, Suite 204, Windsor ON N9A 0C5")</f>
        <v>167 Ferry Street, Suite 204, Windsor ON N9A 0C5</v>
      </c>
      <c r="D40" s="4">
        <f>IFERROR(__xludf.DUMMYFUNCTION("""COMPUTED_VALUE"""),42.3182608696882)</f>
        <v>42.31826087</v>
      </c>
      <c r="E40" s="4">
        <f>IFERROR(__xludf.DUMMYFUNCTION("""COMPUTED_VALUE"""),-83.0419532186401)</f>
        <v>-83.04195322</v>
      </c>
      <c r="F40" s="4" t="str">
        <f>IFERROR(__xludf.DUMMYFUNCTION("""COMPUTED_VALUE"""),"ON")</f>
        <v>ON</v>
      </c>
      <c r="G40" s="4" t="str">
        <f>IFERROR(__xludf.DUMMYFUNCTION("""COMPUTED_VALUE"""),"Accelerator/Incubator Programs")</f>
        <v>Accelerator/Incubator Programs</v>
      </c>
      <c r="H40" s="4" t="str">
        <f>IFERROR(__xludf.DUMMYFUNCTION("""COMPUTED_VALUE"""),"Technology, Innovation")</f>
        <v>Technology, Innovation</v>
      </c>
      <c r="I40" s="44" t="str">
        <f>IFERROR(__xludf.DUMMYFUNCTION("""COMPUTED_VALUE"""),"https://wetech-alliance.com/")</f>
        <v>https://wetech-alliance.com/</v>
      </c>
      <c r="J40" s="4" t="str">
        <f>IFERROR(__xludf.DUMMYFUNCTION("""COMPUTED_VALUE"""),"ypilon@wetech-alliance.com")</f>
        <v>ypilon@wetech-alliance.com</v>
      </c>
      <c r="K40" s="4" t="str">
        <f>IFERROR(__xludf.DUMMYFUNCTION("""COMPUTED_VALUE"""),"519-819-8254")</f>
        <v>519-819-8254</v>
      </c>
      <c r="L40" s="4" t="str">
        <f>IFERROR(__xludf.DUMMYFUNCTION("""COMPUTED_VALUE"""),"Yvonne Pilon, CEO")</f>
        <v>Yvonne Pilon, CEO</v>
      </c>
      <c r="M40" s="4" t="str">
        <f>IFERROR(__xludf.DUMMYFUNCTION("""COMPUTED_VALUE"""),"Non-profit organization hat provides entrepreneurs and companies with business services, training, IP, and commercialization support, mentorship and strategic connections to help bring new ideas to market, scale to the next level and build a dynamic cultu"&amp;"re and a community of innovation.")</f>
        <v>Non-profit organization hat provides entrepreneurs and companies with business services, training, IP, and commercialization support, mentorship and strategic connections to help bring new ideas to market, scale to the next level and build a dynamic culture and a community of innovation.</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s>
  <printOptions/>
  <pageMargins bottom="0.75" footer="0.0" header="0.0" left="0.7" right="0.7" top="0.75"/>
  <pageSetup orientation="landscape"/>
  <drawing r:id="rId4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4" t="str">
        <f>IFERROR(__xludf.DUMMYFUNCTION("VSTACK('Asset Map - v2'!A1:M1, FILTER('Asset Map - v2'!A:M, 'Asset Map - v2'!G:G=""Ecosystem &amp; Business Networks""))"),"Organization Name")</f>
        <v>Organization Name</v>
      </c>
      <c r="B1" s="4" t="str">
        <f>IFERROR(__xludf.DUMMYFUNCTION("""COMPUTED_VALUE"""),"City")</f>
        <v>City</v>
      </c>
      <c r="C1" s="4" t="str">
        <f>IFERROR(__xludf.DUMMYFUNCTION("""COMPUTED_VALUE"""),"Address")</f>
        <v>Address</v>
      </c>
      <c r="D1" s="4" t="str">
        <f>IFERROR(__xludf.DUMMYFUNCTION("""COMPUTED_VALUE"""),"Latitude")</f>
        <v>Latitude</v>
      </c>
      <c r="E1" s="4" t="str">
        <f>IFERROR(__xludf.DUMMYFUNCTION("""COMPUTED_VALUE"""),"Longitude")</f>
        <v>Longitude</v>
      </c>
      <c r="F1" s="4" t="str">
        <f>IFERROR(__xludf.DUMMYFUNCTION("""COMPUTED_VALUE"""),"Province/State")</f>
        <v>Province/State</v>
      </c>
      <c r="G1" s="4" t="str">
        <f>IFERROR(__xludf.DUMMYFUNCTION("""COMPUTED_VALUE"""),"Sector/Type")</f>
        <v>Sector/Type</v>
      </c>
      <c r="H1" s="4" t="str">
        <f>IFERROR(__xludf.DUMMYFUNCTION("""COMPUTED_VALUE"""),"Services Offered")</f>
        <v>Services Offered</v>
      </c>
      <c r="I1" s="4" t="str">
        <f>IFERROR(__xludf.DUMMYFUNCTION("""COMPUTED_VALUE"""),"Website")</f>
        <v>Website</v>
      </c>
      <c r="J1" s="4" t="str">
        <f>IFERROR(__xludf.DUMMYFUNCTION("""COMPUTED_VALUE"""),"Email Address")</f>
        <v>Email Address</v>
      </c>
      <c r="K1" s="4" t="str">
        <f>IFERROR(__xludf.DUMMYFUNCTION("""COMPUTED_VALUE"""),"Phone Number")</f>
        <v>Phone Number</v>
      </c>
      <c r="L1" s="4" t="str">
        <f>IFERROR(__xludf.DUMMYFUNCTION("""COMPUTED_VALUE"""),"Contact Name")</f>
        <v>Contact Name</v>
      </c>
      <c r="M1" s="4" t="str">
        <f>IFERROR(__xludf.DUMMYFUNCTION("""COMPUTED_VALUE"""),"Notes")</f>
        <v>Notes</v>
      </c>
    </row>
    <row r="2">
      <c r="A2" s="4" t="str">
        <f>IFERROR(__xludf.DUMMYFUNCTION("""COMPUTED_VALUE"""),"National Center for Manufacturing Sciences (NCMS)")</f>
        <v>National Center for Manufacturing Sciences (NCMS)</v>
      </c>
      <c r="B2" s="4" t="str">
        <f>IFERROR(__xludf.DUMMYFUNCTION("""COMPUTED_VALUE"""),"Ann Arbor, MI")</f>
        <v>Ann Arbor, MI</v>
      </c>
      <c r="C2" s="4" t="str">
        <f>IFERROR(__xludf.DUMMYFUNCTION("""COMPUTED_VALUE"""),"3025 Boardwalk, Ann Arbor, MI 48108")</f>
        <v>3025 Boardwalk, Ann Arbor, MI 48108</v>
      </c>
      <c r="D2" s="4">
        <f>IFERROR(__xludf.DUMMYFUNCTION("""COMPUTED_VALUE"""),42.2431)</f>
        <v>42.2431</v>
      </c>
      <c r="E2" s="4">
        <f>IFERROR(__xludf.DUMMYFUNCTION("""COMPUTED_VALUE"""),-83.7328)</f>
        <v>-83.7328</v>
      </c>
      <c r="F2" s="4" t="str">
        <f>IFERROR(__xludf.DUMMYFUNCTION("""COMPUTED_VALUE"""),"MI")</f>
        <v>MI</v>
      </c>
      <c r="G2" s="4" t="str">
        <f>IFERROR(__xludf.DUMMYFUNCTION("""COMPUTED_VALUE"""),"Ecosystem &amp; Business Networks")</f>
        <v>Ecosystem &amp; Business Networks</v>
      </c>
      <c r="H2" s="4" t="str">
        <f>IFERROR(__xludf.DUMMYFUNCTION("""COMPUTED_VALUE"""),"Advanced manufacturing, innovation, technology")</f>
        <v>Advanced manufacturing, innovation, technology</v>
      </c>
      <c r="I2" s="44" t="str">
        <f>IFERROR(__xludf.DUMMYFUNCTION("""COMPUTED_VALUE"""),"https://www.ncms.org/")</f>
        <v>https://www.ncms.org/</v>
      </c>
      <c r="J2" s="4" t="str">
        <f>IFERROR(__xludf.DUMMYFUNCTION("""COMPUTED_VALUE"""),"contact@ncms.org")</f>
        <v>contact@ncms.org</v>
      </c>
      <c r="K2" s="4" t="str">
        <f>IFERROR(__xludf.DUMMYFUNCTION("""COMPUTED_VALUE"""),"(800) 222-6267")</f>
        <v>(800) 222-6267</v>
      </c>
      <c r="L2" s="4"/>
      <c r="M2" s="4" t="str">
        <f>IFERROR(__xludf.DUMMYFUNCTION("""COMPUTED_VALUE"""),"Brings together highly capable companies with providers and end users who need their innovations and solutions.")</f>
        <v>Brings together highly capable companies with providers and end users who need their innovations and solutions.</v>
      </c>
    </row>
    <row r="3">
      <c r="A3" s="4" t="str">
        <f>IFERROR(__xludf.DUMMYFUNCTION("""COMPUTED_VALUE"""),"Merit Network")</f>
        <v>Merit Network</v>
      </c>
      <c r="B3" s="4" t="str">
        <f>IFERROR(__xludf.DUMMYFUNCTION("""COMPUTED_VALUE"""),"Ann Arbor, MI")</f>
        <v>Ann Arbor, MI</v>
      </c>
      <c r="C3" s="4" t="str">
        <f>IFERROR(__xludf.DUMMYFUNCTION("""COMPUTED_VALUE"""),"880 Technology Drive, Suite B, Ann Arbor, MI 48108-8963")</f>
        <v>880 Technology Drive, Suite B, Ann Arbor, MI 48108-8963</v>
      </c>
      <c r="D3" s="4">
        <f>IFERROR(__xludf.DUMMYFUNCTION("""COMPUTED_VALUE"""),42.2139)</f>
        <v>42.2139</v>
      </c>
      <c r="E3" s="4">
        <f>IFERROR(__xludf.DUMMYFUNCTION("""COMPUTED_VALUE"""),-83.745)</f>
        <v>-83.745</v>
      </c>
      <c r="F3" s="4" t="str">
        <f>IFERROR(__xludf.DUMMYFUNCTION("""COMPUTED_VALUE"""),"MI")</f>
        <v>MI</v>
      </c>
      <c r="G3" s="4" t="str">
        <f>IFERROR(__xludf.DUMMYFUNCTION("""COMPUTED_VALUE"""),"Ecosystem &amp; Business Networks")</f>
        <v>Ecosystem &amp; Business Networks</v>
      </c>
      <c r="H3" s="4" t="str">
        <f>IFERROR(__xludf.DUMMYFUNCTION("""COMPUTED_VALUE"""),"Digital networking, security, support")</f>
        <v>Digital networking, security, support</v>
      </c>
      <c r="I3" s="44" t="str">
        <f>IFERROR(__xludf.DUMMYFUNCTION("""COMPUTED_VALUE"""),"https://www.merit.edu/")</f>
        <v>https://www.merit.edu/</v>
      </c>
      <c r="J3" s="4" t="str">
        <f>IFERROR(__xludf.DUMMYFUNCTION("""COMPUTED_VALUE"""),"info@merit.edu")</f>
        <v>info@merit.edu</v>
      </c>
      <c r="K3" s="4" t="str">
        <f>IFERROR(__xludf.DUMMYFUNCTION("""COMPUTED_VALUE"""),"734.527.5700")</f>
        <v>734.527.5700</v>
      </c>
      <c r="L3" s="4"/>
      <c r="M3" s="4" t="str">
        <f>IFERROR(__xludf.DUMMYFUNCTION("""COMPUTED_VALUE"""),"Independent nonprofit corporation governed by Michigan's public universities.")</f>
        <v>Independent nonprofit corporation governed by Michigan's public universities.</v>
      </c>
    </row>
    <row r="4">
      <c r="A4" s="4" t="str">
        <f>IFERROR(__xludf.DUMMYFUNCTION("""COMPUTED_VALUE"""),"Detroit Regional Partnership")</f>
        <v>Detroit Regional Partnership</v>
      </c>
      <c r="B4" s="4" t="str">
        <f>IFERROR(__xludf.DUMMYFUNCTION("""COMPUTED_VALUE"""),"Detroit, MI")</f>
        <v>Detroit, MI</v>
      </c>
      <c r="C4" s="4" t="str">
        <f>IFERROR(__xludf.DUMMYFUNCTION("""COMPUTED_VALUE"""),"1001 Woodward Ave Suite 800, Detroit, MI 48226")</f>
        <v>1001 Woodward Ave Suite 800, Detroit, MI 48226</v>
      </c>
      <c r="D4" s="4">
        <f>IFERROR(__xludf.DUMMYFUNCTION("""COMPUTED_VALUE"""),42.332)</f>
        <v>42.332</v>
      </c>
      <c r="E4" s="4">
        <f>IFERROR(__xludf.DUMMYFUNCTION("""COMPUTED_VALUE"""),-83.0476)</f>
        <v>-83.0476</v>
      </c>
      <c r="F4" s="4" t="str">
        <f>IFERROR(__xludf.DUMMYFUNCTION("""COMPUTED_VALUE"""),"MI")</f>
        <v>MI</v>
      </c>
      <c r="G4" s="4" t="str">
        <f>IFERROR(__xludf.DUMMYFUNCTION("""COMPUTED_VALUE"""),"Ecosystem &amp; Business Networks")</f>
        <v>Ecosystem &amp; Business Networks</v>
      </c>
      <c r="H4" s="4" t="str">
        <f>IFERROR(__xludf.DUMMYFUNCTION("""COMPUTED_VALUE"""),"Economic development, business attraction, project management")</f>
        <v>Economic development, business attraction, project management</v>
      </c>
      <c r="I4" s="44" t="str">
        <f>IFERROR(__xludf.DUMMYFUNCTION("""COMPUTED_VALUE"""),"https://www.detroitregionalpartnership.com/")</f>
        <v>https://www.detroitregionalpartnership.com/</v>
      </c>
      <c r="J4" s="4" t="str">
        <f>IFERROR(__xludf.DUMMYFUNCTION("""COMPUTED_VALUE"""),"kent.spencer@detroitregionalpartnership.com")</f>
        <v>kent.spencer@detroitregionalpartnership.com</v>
      </c>
      <c r="K4" s="4">
        <f>IFERROR(__xludf.DUMMYFUNCTION("""COMPUTED_VALUE"""),3.1351856E9)</f>
        <v>3135185600</v>
      </c>
      <c r="L4" s="4" t="str">
        <f>IFERROR(__xludf.DUMMYFUNCTION("""COMPUTED_VALUE"""),"Kent Spencer")</f>
        <v>Kent Spencer</v>
      </c>
      <c r="M4" s="4" t="str">
        <f>IFERROR(__xludf.DUMMYFUNCTION("""COMPUTED_VALUE"""),"Regional economic development")</f>
        <v>Regional economic development</v>
      </c>
    </row>
    <row r="5">
      <c r="A5" s="4" t="str">
        <f>IFERROR(__xludf.DUMMYFUNCTION("""COMPUTED_VALUE"""),"City of Detroit")</f>
        <v>City of Detroit</v>
      </c>
      <c r="B5" s="4" t="str">
        <f>IFERROR(__xludf.DUMMYFUNCTION("""COMPUTED_VALUE"""),"Detroit, MI")</f>
        <v>Detroit, MI</v>
      </c>
      <c r="C5" s="4" t="str">
        <f>IFERROR(__xludf.DUMMYFUNCTION("""COMPUTED_VALUE"""),"2 Woodward Ave, Detroit, MI 48226")</f>
        <v>2 Woodward Ave, Detroit, MI 48226</v>
      </c>
      <c r="D5" s="4">
        <f>IFERROR(__xludf.DUMMYFUNCTION("""COMPUTED_VALUE"""),42.32969)</f>
        <v>42.32969</v>
      </c>
      <c r="E5" s="4">
        <f>IFERROR(__xludf.DUMMYFUNCTION("""COMPUTED_VALUE"""),-83.04357)</f>
        <v>-83.04357</v>
      </c>
      <c r="F5" s="4" t="str">
        <f>IFERROR(__xludf.DUMMYFUNCTION("""COMPUTED_VALUE"""),"MI")</f>
        <v>MI</v>
      </c>
      <c r="G5" s="4" t="str">
        <f>IFERROR(__xludf.DUMMYFUNCTION("""COMPUTED_VALUE"""),"Ecosystem &amp; Business Networks")</f>
        <v>Ecosystem &amp; Business Networks</v>
      </c>
      <c r="H5" s="4" t="str">
        <f>IFERROR(__xludf.DUMMYFUNCTION("""COMPUTED_VALUE"""),"Economic development, tech innovation")</f>
        <v>Economic development, tech innovation</v>
      </c>
      <c r="I5" s="44" t="str">
        <f>IFERROR(__xludf.DUMMYFUNCTION("""COMPUTED_VALUE"""),"https://detroitmi.gov/")</f>
        <v>https://detroitmi.gov/</v>
      </c>
      <c r="J5" s="4"/>
      <c r="K5" s="4"/>
      <c r="L5" s="4"/>
      <c r="M5" s="4" t="str">
        <f>IFERROR(__xludf.DUMMYFUNCTION("""COMPUTED_VALUE"""),"Hub to learn about Detroit city services and resources.")</f>
        <v>Hub to learn about Detroit city services and resources.</v>
      </c>
    </row>
    <row r="6">
      <c r="A6" s="4" t="str">
        <f>IFERROR(__xludf.DUMMYFUNCTION("""COMPUTED_VALUE"""),"Global Detroit")</f>
        <v>Global Detroit</v>
      </c>
      <c r="B6" s="4" t="str">
        <f>IFERROR(__xludf.DUMMYFUNCTION("""COMPUTED_VALUE"""),"Detroit, MI")</f>
        <v>Detroit, MI</v>
      </c>
      <c r="C6" s="4" t="str">
        <f>IFERROR(__xludf.DUMMYFUNCTION("""COMPUTED_VALUE"""),"2050 15th Street, Suite 312, Detroit, MI 48216, USA")</f>
        <v>2050 15th Street, Suite 312, Detroit, MI 48216, USA</v>
      </c>
      <c r="D6" s="4">
        <f>IFERROR(__xludf.DUMMYFUNCTION("""COMPUTED_VALUE"""),42.3258)</f>
        <v>42.3258</v>
      </c>
      <c r="E6" s="4">
        <f>IFERROR(__xludf.DUMMYFUNCTION("""COMPUTED_VALUE"""),-83.0735)</f>
        <v>-83.0735</v>
      </c>
      <c r="F6" s="4" t="str">
        <f>IFERROR(__xludf.DUMMYFUNCTION("""COMPUTED_VALUE"""),"MI")</f>
        <v>MI</v>
      </c>
      <c r="G6" s="4" t="str">
        <f>IFERROR(__xludf.DUMMYFUNCTION("""COMPUTED_VALUE"""),"Ecosystem &amp; Business Networks")</f>
        <v>Ecosystem &amp; Business Networks</v>
      </c>
      <c r="H6" s="4" t="str">
        <f>IFERROR(__xludf.DUMMYFUNCTION("""COMPUTED_VALUE"""),"Immigrant integration, economic development")</f>
        <v>Immigrant integration, economic development</v>
      </c>
      <c r="I6" s="44" t="str">
        <f>IFERROR(__xludf.DUMMYFUNCTION("""COMPUTED_VALUE"""),"https://www.globaldetroitmi.org/")</f>
        <v>https://www.globaldetroitmi.org/</v>
      </c>
      <c r="J6" s="4" t="str">
        <f>IFERROR(__xludf.DUMMYFUNCTION("""COMPUTED_VALUE"""),"rena@globaldetroitmi.org")</f>
        <v>rena@globaldetroitmi.org</v>
      </c>
      <c r="K6" s="4"/>
      <c r="L6" s="4" t="str">
        <f>IFERROR(__xludf.DUMMYFUNCTION("""COMPUTED_VALUE"""),"Rena Dam, Global Talent Corporate Outreach Michigan Program Manager")</f>
        <v>Rena Dam, Global Talent Corporate Outreach Michigan Program Manager</v>
      </c>
      <c r="M6" s="4" t="str">
        <f>IFERROR(__xludf.DUMMYFUNCTION("""COMPUTED_VALUE"""),"Creates strategies to strengthen the region through immigrant inclusion.")</f>
        <v>Creates strategies to strengthen the region through immigrant inclusion.</v>
      </c>
    </row>
    <row r="7">
      <c r="A7" s="4" t="str">
        <f>IFERROR(__xludf.DUMMYFUNCTION("""COMPUTED_VALUE"""),"Michigan Economic Development Corporation, Office of Future Mobility &amp; Electrification")</f>
        <v>Michigan Economic Development Corporation, Office of Future Mobility &amp; Electrification</v>
      </c>
      <c r="B7" s="4" t="str">
        <f>IFERROR(__xludf.DUMMYFUNCTION("""COMPUTED_VALUE"""),"Detroit, MI")</f>
        <v>Detroit, MI</v>
      </c>
      <c r="C7" s="4" t="str">
        <f>IFERROR(__xludf.DUMMYFUNCTION("""COMPUTED_VALUE"""),"300 N Washington Sq, Lansing, MI 48913")</f>
        <v>300 N Washington Sq, Lansing, MI 48913</v>
      </c>
      <c r="D7" s="4">
        <f>IFERROR(__xludf.DUMMYFUNCTION("""COMPUTED_VALUE"""),42.7362)</f>
        <v>42.7362</v>
      </c>
      <c r="E7" s="4">
        <f>IFERROR(__xludf.DUMMYFUNCTION("""COMPUTED_VALUE"""),-84.5513)</f>
        <v>-84.5513</v>
      </c>
      <c r="F7" s="4" t="str">
        <f>IFERROR(__xludf.DUMMYFUNCTION("""COMPUTED_VALUE"""),"MI")</f>
        <v>MI</v>
      </c>
      <c r="G7" s="4" t="str">
        <f>IFERROR(__xludf.DUMMYFUNCTION("""COMPUTED_VALUE"""),"Ecosystem &amp; Business Networks")</f>
        <v>Ecosystem &amp; Business Networks</v>
      </c>
      <c r="H7" s="4" t="str">
        <f>IFERROR(__xludf.DUMMYFUNCTION("""COMPUTED_VALUE"""),"Mobility innovation, electric vehicles")</f>
        <v>Mobility innovation, electric vehicles</v>
      </c>
      <c r="I7" s="44" t="str">
        <f>IFERROR(__xludf.DUMMYFUNCTION("""COMPUTED_VALUE"""),"https://www.michiganbusiness.org/ofme/")</f>
        <v>https://www.michiganbusiness.org/ofme/</v>
      </c>
      <c r="J7" s="4"/>
      <c r="K7" s="4" t="str">
        <f>IFERROR(__xludf.DUMMYFUNCTION("""COMPUTED_VALUE"""),"888.522.0103")</f>
        <v>888.522.0103</v>
      </c>
      <c r="L7" s="4"/>
      <c r="M7" s="4" t="str">
        <f>IFERROR(__xludf.DUMMYFUNCTION("""COMPUTED_VALUE"""),"Public and private partnerships to enhance Michigan's mobility ecosystem.")</f>
        <v>Public and private partnerships to enhance Michigan's mobility ecosystem.</v>
      </c>
    </row>
    <row r="8">
      <c r="A8" s="4" t="str">
        <f>IFERROR(__xludf.DUMMYFUNCTION("""COMPUTED_VALUE"""),"Detroit Economic Growth Corp (DEGC)- Detroit Means Business")</f>
        <v>Detroit Economic Growth Corp (DEGC)- Detroit Means Business</v>
      </c>
      <c r="B8" s="4" t="str">
        <f>IFERROR(__xludf.DUMMYFUNCTION("""COMPUTED_VALUE"""),"Detroit, MI")</f>
        <v>Detroit, MI</v>
      </c>
      <c r="C8" s="4" t="str">
        <f>IFERROR(__xludf.DUMMYFUNCTION("""COMPUTED_VALUE"""),"500 Griswold St #2200, Detroit, MI 48226")</f>
        <v>500 Griswold St #2200, Detroit, MI 48226</v>
      </c>
      <c r="D8" s="4">
        <f>IFERROR(__xludf.DUMMYFUNCTION("""COMPUTED_VALUE"""),42.3306)</f>
        <v>42.3306</v>
      </c>
      <c r="E8" s="4">
        <f>IFERROR(__xludf.DUMMYFUNCTION("""COMPUTED_VALUE"""),-83.0466)</f>
        <v>-83.0466</v>
      </c>
      <c r="F8" s="4" t="str">
        <f>IFERROR(__xludf.DUMMYFUNCTION("""COMPUTED_VALUE"""),"MI")</f>
        <v>MI</v>
      </c>
      <c r="G8" s="4" t="str">
        <f>IFERROR(__xludf.DUMMYFUNCTION("""COMPUTED_VALUE"""),"Ecosystem &amp; Business Networks")</f>
        <v>Ecosystem &amp; Business Networks</v>
      </c>
      <c r="H8" s="4" t="str">
        <f>IFERROR(__xludf.DUMMYFUNCTION("""COMPUTED_VALUE"""),"Economic development, business expansion, Small business funding, mentorship, access to City services")</f>
        <v>Economic development, business expansion, Small business funding, mentorship, access to City services</v>
      </c>
      <c r="I8" s="44" t="str">
        <f>IFERROR(__xludf.DUMMYFUNCTION("""COMPUTED_VALUE"""),"https://www.degc.org/")</f>
        <v>https://www.degc.org/</v>
      </c>
      <c r="J8" s="4" t="str">
        <f>IFERROR(__xludf.DUMMYFUNCTION("""COMPUTED_VALUE"""),"dwhite@degc.org")</f>
        <v>dwhite@degc.org</v>
      </c>
      <c r="K8" s="4">
        <f>IFERROR(__xludf.DUMMYFUNCTION("""COMPUTED_VALUE"""),3.132374621E9)</f>
        <v>3132374621</v>
      </c>
      <c r="L8" s="4" t="str">
        <f>IFERROR(__xludf.DUMMYFUNCTION("""COMPUTED_VALUE"""),"DAVID WHITE, Vice President")</f>
        <v>DAVID WHITE, Vice President</v>
      </c>
      <c r="M8" s="4" t="str">
        <f>IFERROR(__xludf.DUMMYFUNCTION("""COMPUTED_VALUE"""),"Secondary link: https://www.detroitmeansbusiness.org/")</f>
        <v>Secondary link: https://www.detroitmeansbusiness.org/</v>
      </c>
    </row>
    <row r="9">
      <c r="A9" s="4" t="str">
        <f>IFERROR(__xludf.DUMMYFUNCTION("""COMPUTED_VALUE"""),"Innovate Michigan!")</f>
        <v>Innovate Michigan!</v>
      </c>
      <c r="B9" s="4" t="str">
        <f>IFERROR(__xludf.DUMMYFUNCTION("""COMPUTED_VALUE"""),"Detroit, MI")</f>
        <v>Detroit, MI</v>
      </c>
      <c r="C9" s="4" t="str">
        <f>IFERROR(__xludf.DUMMYFUNCTION("""COMPUTED_VALUE"""),"777 Woodward Ave, Suite 800, Detroit, MI 48226")</f>
        <v>777 Woodward Ave, Suite 800, Detroit, MI 48226</v>
      </c>
      <c r="D9" s="4">
        <f>IFERROR(__xludf.DUMMYFUNCTION("""COMPUTED_VALUE"""),42.3314)</f>
        <v>42.3314</v>
      </c>
      <c r="E9" s="4">
        <f>IFERROR(__xludf.DUMMYFUNCTION("""COMPUTED_VALUE"""),-83.0474)</f>
        <v>-83.0474</v>
      </c>
      <c r="F9" s="4" t="str">
        <f>IFERROR(__xludf.DUMMYFUNCTION("""COMPUTED_VALUE"""),"MI")</f>
        <v>MI</v>
      </c>
      <c r="G9" s="4" t="str">
        <f>IFERROR(__xludf.DUMMYFUNCTION("""COMPUTED_VALUE"""),"Ecosystem &amp; Business Networks")</f>
        <v>Ecosystem &amp; Business Networks</v>
      </c>
      <c r="H9" s="4" t="str">
        <f>IFERROR(__xludf.DUMMYFUNCTION("""COMPUTED_VALUE"""),"Tech innovation, economic development")</f>
        <v>Tech innovation, economic development</v>
      </c>
      <c r="I9" s="44" t="str">
        <f>IFERROR(__xludf.DUMMYFUNCTION("""COMPUTED_VALUE"""),"https://michauto.org/innovate-michigan/")</f>
        <v>https://michauto.org/innovate-michigan/</v>
      </c>
      <c r="J9" s="4"/>
      <c r="K9" s="4"/>
      <c r="L9" s="4"/>
      <c r="M9" s="4" t="str">
        <f>IFERROR(__xludf.DUMMYFUNCTION("""COMPUTED_VALUE"""),"Collaboration between Detroit Regional Chamber and University of Michigan to foster innovation, technological advancement, and economiv growth from ANn Arbor to Detroit.")</f>
        <v>Collaboration between Detroit Regional Chamber and University of Michigan to foster innovation, technological advancement, and economiv growth from ANn Arbor to Detroit.</v>
      </c>
    </row>
    <row r="10">
      <c r="A10" s="4" t="str">
        <f>IFERROR(__xludf.DUMMYFUNCTION("""COMPUTED_VALUE"""),"MichAuto")</f>
        <v>MichAuto</v>
      </c>
      <c r="B10" s="4" t="str">
        <f>IFERROR(__xludf.DUMMYFUNCTION("""COMPUTED_VALUE"""),"Detroit, MI")</f>
        <v>Detroit, MI</v>
      </c>
      <c r="C10" s="4" t="str">
        <f>IFERROR(__xludf.DUMMYFUNCTION("""COMPUTED_VALUE"""),"777 Woodward Ave, Suite 800, Detroit, MI 48226")</f>
        <v>777 Woodward Ave, Suite 800, Detroit, MI 48226</v>
      </c>
      <c r="D10" s="4">
        <f>IFERROR(__xludf.DUMMYFUNCTION("""COMPUTED_VALUE"""),42.3314)</f>
        <v>42.3314</v>
      </c>
      <c r="E10" s="4">
        <f>IFERROR(__xludf.DUMMYFUNCTION("""COMPUTED_VALUE"""),-83.0474)</f>
        <v>-83.0474</v>
      </c>
      <c r="F10" s="4" t="str">
        <f>IFERROR(__xludf.DUMMYFUNCTION("""COMPUTED_VALUE"""),"MI")</f>
        <v>MI</v>
      </c>
      <c r="G10" s="4" t="str">
        <f>IFERROR(__xludf.DUMMYFUNCTION("""COMPUTED_VALUE"""),"Ecosystem &amp; Business Networks")</f>
        <v>Ecosystem &amp; Business Networks</v>
      </c>
      <c r="H10" s="4" t="str">
        <f>IFERROR(__xludf.DUMMYFUNCTION("""COMPUTED_VALUE"""),"Automotive, technology, mobility innovation")</f>
        <v>Automotive, technology, mobility innovation</v>
      </c>
      <c r="I10" s="44" t="str">
        <f>IFERROR(__xludf.DUMMYFUNCTION("""COMPUTED_VALUE"""),"https://www.michauto.org/")</f>
        <v>https://www.michauto.org/</v>
      </c>
      <c r="J10" s="4"/>
      <c r="K10" s="4"/>
      <c r="L10" s="4"/>
      <c r="M10" s="4" t="str">
        <f>IFERROR(__xludf.DUMMYFUNCTION("""COMPUTED_VALUE"""),"Promotes, retains, and grows auto industry as Michigan's only automotive and mobility association.")</f>
        <v>Promotes, retains, and grows auto industry as Michigan's only automotive and mobility association.</v>
      </c>
    </row>
    <row r="11">
      <c r="A11" s="4" t="str">
        <f>IFERROR(__xludf.DUMMYFUNCTION("""COMPUTED_VALUE"""),"Lansing Economic Area Partnership (LEAP)")</f>
        <v>Lansing Economic Area Partnership (LEAP)</v>
      </c>
      <c r="B11" s="4" t="str">
        <f>IFERROR(__xludf.DUMMYFUNCTION("""COMPUTED_VALUE"""),"Lansing, MI")</f>
        <v>Lansing, MI</v>
      </c>
      <c r="C11" s="4" t="str">
        <f>IFERROR(__xludf.DUMMYFUNCTION("""COMPUTED_VALUE"""),"1000 S Washington Ave, Lansing, MI 48910")</f>
        <v>1000 S Washington Ave, Lansing, MI 48910</v>
      </c>
      <c r="D11" s="4">
        <f>IFERROR(__xludf.DUMMYFUNCTION("""COMPUTED_VALUE"""),42.723)</f>
        <v>42.723</v>
      </c>
      <c r="E11" s="4">
        <f>IFERROR(__xludf.DUMMYFUNCTION("""COMPUTED_VALUE"""),-84.5527)</f>
        <v>-84.5527</v>
      </c>
      <c r="F11" s="4" t="str">
        <f>IFERROR(__xludf.DUMMYFUNCTION("""COMPUTED_VALUE"""),"MI")</f>
        <v>MI</v>
      </c>
      <c r="G11" s="4" t="str">
        <f>IFERROR(__xludf.DUMMYFUNCTION("""COMPUTED_VALUE"""),"Ecosystem &amp; Business Networks")</f>
        <v>Ecosystem &amp; Business Networks</v>
      </c>
      <c r="H11" s="4" t="str">
        <f>IFERROR(__xludf.DUMMYFUNCTION("""COMPUTED_VALUE"""),"Economic development, business growth, regional growth")</f>
        <v>Economic development, business growth, regional growth</v>
      </c>
      <c r="I11" s="44" t="str">
        <f>IFERROR(__xludf.DUMMYFUNCTION("""COMPUTED_VALUE"""),"https://www.purelansing.com/")</f>
        <v>https://www.purelansing.com/</v>
      </c>
      <c r="J11" s="4" t="str">
        <f>IFERROR(__xludf.DUMMYFUNCTION("""COMPUTED_VALUE"""),"harrison@purelansing.com")</f>
        <v>harrison@purelansing.com</v>
      </c>
      <c r="K11" s="4"/>
      <c r="L11" s="4" t="str">
        <f>IFERROR(__xludf.DUMMYFUNCTION("""COMPUTED_VALUE"""),"Harrison Leffel-Jones, Vice President of Small Business &amp; Innovation")</f>
        <v>Harrison Leffel-Jones, Vice President of Small Business &amp; Innovation</v>
      </c>
      <c r="M11" s="4" t="str">
        <f>IFERROR(__xludf.DUMMYFUNCTION("""COMPUTED_VALUE"""),"Economic development organization represengint the tri-county region of Clinton, Eaton, and Ingham.")</f>
        <v>Economic development organization represengint the tri-county region of Clinton, Eaton, and Ingham.</v>
      </c>
    </row>
    <row r="12">
      <c r="A12" s="4" t="str">
        <f>IFERROR(__xludf.DUMMYFUNCTION("""COMPUTED_VALUE"""),"Michigan Small Business Development Center - State Headquarters")</f>
        <v>Michigan Small Business Development Center - State Headquarters</v>
      </c>
      <c r="B12" s="4" t="str">
        <f>IFERROR(__xludf.DUMMYFUNCTION("""COMPUTED_VALUE"""),"Grand Rapids, MI")</f>
        <v>Grand Rapids, MI</v>
      </c>
      <c r="C12" s="4" t="str">
        <f>IFERROR(__xludf.DUMMYFUNCTION("""COMPUTED_VALUE"""),"50 Front Ave. SW Grand Rapids, MI 49504")</f>
        <v>50 Front Ave. SW Grand Rapids, MI 49504</v>
      </c>
      <c r="D12" s="4">
        <f>IFERROR(__xludf.DUMMYFUNCTION("""COMPUTED_VALUE"""),42.962015)</f>
        <v>42.962015</v>
      </c>
      <c r="E12" s="4">
        <f>IFERROR(__xludf.DUMMYFUNCTION("""COMPUTED_VALUE"""),-85.679395)</f>
        <v>-85.679395</v>
      </c>
      <c r="F12" s="4" t="str">
        <f>IFERROR(__xludf.DUMMYFUNCTION("""COMPUTED_VALUE"""),"MI")</f>
        <v>MI</v>
      </c>
      <c r="G12" s="4" t="str">
        <f>IFERROR(__xludf.DUMMYFUNCTION("""COMPUTED_VALUE"""),"Ecosystem &amp; Business Networks")</f>
        <v>Ecosystem &amp; Business Networks</v>
      </c>
      <c r="H12" s="4" t="str">
        <f>IFERROR(__xludf.DUMMYFUNCTION("""COMPUTED_VALUE"""),"Small business development, entrepreneurship")</f>
        <v>Small business development, entrepreneurship</v>
      </c>
      <c r="I12" s="44" t="str">
        <f>IFERROR(__xludf.DUMMYFUNCTION("""COMPUTED_VALUE"""),"https://www.sbdcmichigan.org/")</f>
        <v>https://www.sbdcmichigan.org/</v>
      </c>
      <c r="J12" s="4" t="str">
        <f>IFERROR(__xludf.DUMMYFUNCTION("""COMPUTED_VALUE"""),"hellinge@gvsu.edu")</f>
        <v>hellinge@gvsu.edu</v>
      </c>
      <c r="K12" s="4"/>
      <c r="L12" s="4" t="str">
        <f>IFERROR(__xludf.DUMMYFUNCTION("""COMPUTED_VALUE"""),"Lizz Hellinga, Assistant State Director, Technology, Strategy &amp; Operations")</f>
        <v>Lizz Hellinga, Assistant State Director, Technology, Strategy &amp; Operations</v>
      </c>
      <c r="M12" s="4" t="str">
        <f>IFERROR(__xludf.DUMMYFUNCTION("""COMPUTED_VALUE"""),"Seidman Collage of Business, Grand Valley State University")</f>
        <v>Seidman Collage of Business, Grand Valley State University</v>
      </c>
    </row>
    <row r="13">
      <c r="A13" s="4" t="str">
        <f>IFERROR(__xludf.DUMMYFUNCTION("""COMPUTED_VALUE"""),"Michigan Small Business Development Center - Capital Region")</f>
        <v>Michigan Small Business Development Center - Capital Region</v>
      </c>
      <c r="B13" s="4" t="str">
        <f>IFERROR(__xludf.DUMMYFUNCTION("""COMPUTED_VALUE"""),"Lansing, MI")</f>
        <v>Lansing, MI</v>
      </c>
      <c r="C13" s="4" t="str">
        <f>IFERROR(__xludf.DUMMYFUNCTION("""COMPUTED_VALUE"""),"309 N. Washington Square, Suite 115, Lansing MI 48933")</f>
        <v>309 N. Washington Square, Suite 115, Lansing MI 48933</v>
      </c>
      <c r="D13" s="4">
        <f>IFERROR(__xludf.DUMMYFUNCTION("""COMPUTED_VALUE"""),42.7359)</f>
        <v>42.7359</v>
      </c>
      <c r="E13" s="4">
        <f>IFERROR(__xludf.DUMMYFUNCTION("""COMPUTED_VALUE"""),-84.5516)</f>
        <v>-84.5516</v>
      </c>
      <c r="F13" s="4" t="str">
        <f>IFERROR(__xludf.DUMMYFUNCTION("""COMPUTED_VALUE"""),"MI")</f>
        <v>MI</v>
      </c>
      <c r="G13" s="4" t="str">
        <f>IFERROR(__xludf.DUMMYFUNCTION("""COMPUTED_VALUE"""),"Ecosystem &amp; Business Networks")</f>
        <v>Ecosystem &amp; Business Networks</v>
      </c>
      <c r="H13" s="4" t="str">
        <f>IFERROR(__xludf.DUMMYFUNCTION("""COMPUTED_VALUE"""),"Small business development, entrepreneurship")</f>
        <v>Small business development, entrepreneurship</v>
      </c>
      <c r="I13" s="44" t="str">
        <f>IFERROR(__xludf.DUMMYFUNCTION("""COMPUTED_VALUE"""),"https://www.sbdcmichigan.org/")</f>
        <v>https://www.sbdcmichigan.org/</v>
      </c>
      <c r="J13" s="4" t="str">
        <f>IFERROR(__xludf.DUMMYFUNCTION("""COMPUTED_VALUE"""),"hellinge@gvsu.edu")</f>
        <v>hellinge@gvsu.edu</v>
      </c>
      <c r="K13" s="4"/>
      <c r="L13" s="4" t="str">
        <f>IFERROR(__xludf.DUMMYFUNCTION("""COMPUTED_VALUE"""),"Lizz Hellinga, Assistant State Director, Technology, Strategy &amp; Operations")</f>
        <v>Lizz Hellinga, Assistant State Director, Technology, Strategy &amp; Operations</v>
      </c>
      <c r="M13" s="4" t="str">
        <f>IFERROR(__xludf.DUMMYFUNCTION("""COMPUTED_VALUE"""),"Serving Clinton, Eaton, and Ingham counties. Lansing Community College.")</f>
        <v>Serving Clinton, Eaton, and Ingham counties. Lansing Community College.</v>
      </c>
    </row>
    <row r="14">
      <c r="A14" s="4" t="str">
        <f>IFERROR(__xludf.DUMMYFUNCTION("""COMPUTED_VALUE"""),"Michigan Small Business Development Center - I-68 Trade Corridor Region")</f>
        <v>Michigan Small Business Development Center - I-68 Trade Corridor Region</v>
      </c>
      <c r="B14" s="4" t="str">
        <f>IFERROR(__xludf.DUMMYFUNCTION("""COMPUTED_VALUE"""),"Flint, MI")</f>
        <v>Flint, MI</v>
      </c>
      <c r="C14" s="4" t="str">
        <f>IFERROR(__xludf.DUMMYFUNCTION("""COMPUTED_VALUE"""),"1700 University Ave. Campus Center, 5th Floor. Flint, MI 48504")</f>
        <v>1700 University Ave. Campus Center, 5th Floor. Flint, MI 48504</v>
      </c>
      <c r="D14" s="4">
        <f>IFERROR(__xludf.DUMMYFUNCTION("""COMPUTED_VALUE"""),43.013561)</f>
        <v>43.013561</v>
      </c>
      <c r="E14" s="4">
        <f>IFERROR(__xludf.DUMMYFUNCTION("""COMPUTED_VALUE"""),-83.713943)</f>
        <v>-83.713943</v>
      </c>
      <c r="F14" s="4" t="str">
        <f>IFERROR(__xludf.DUMMYFUNCTION("""COMPUTED_VALUE"""),"MI")</f>
        <v>MI</v>
      </c>
      <c r="G14" s="4" t="str">
        <f>IFERROR(__xludf.DUMMYFUNCTION("""COMPUTED_VALUE"""),"Ecosystem &amp; Business Networks")</f>
        <v>Ecosystem &amp; Business Networks</v>
      </c>
      <c r="H14" s="4" t="str">
        <f>IFERROR(__xludf.DUMMYFUNCTION("""COMPUTED_VALUE"""),"Small business development, entrepreneurship")</f>
        <v>Small business development, entrepreneurship</v>
      </c>
      <c r="I14" s="44" t="str">
        <f>IFERROR(__xludf.DUMMYFUNCTION("""COMPUTED_VALUE"""),"https://www.sbdcmichigan.org/")</f>
        <v>https://www.sbdcmichigan.org/</v>
      </c>
      <c r="J14" s="4" t="str">
        <f>IFERROR(__xludf.DUMMYFUNCTION("""COMPUTED_VALUE"""),"hellinge@gvsu.edu")</f>
        <v>hellinge@gvsu.edu</v>
      </c>
      <c r="K14" s="4"/>
      <c r="L14" s="4" t="str">
        <f>IFERROR(__xludf.DUMMYFUNCTION("""COMPUTED_VALUE"""),"Lizz Hellinga, Assistant State Director, Technology, Strategy &amp; Operations")</f>
        <v>Lizz Hellinga, Assistant State Director, Technology, Strategy &amp; Operations</v>
      </c>
      <c r="M14" s="4" t="str">
        <f>IFERROR(__xludf.DUMMYFUNCTION("""COMPUTED_VALUE"""),"Serving Genesee, Huron, Lapeer, Sanilac, Shiawassee, St. Clair, and Tuscola counties. Kettering University.")</f>
        <v>Serving Genesee, Huron, Lapeer, Sanilac, Shiawassee, St. Clair, and Tuscola counties. Kettering University.</v>
      </c>
    </row>
    <row r="15">
      <c r="A15" s="4" t="str">
        <f>IFERROR(__xludf.DUMMYFUNCTION("""COMPUTED_VALUE"""),"Michigan Small Business Development Center - Lake Huron Region")</f>
        <v>Michigan Small Business Development Center - Lake Huron Region</v>
      </c>
      <c r="B15" s="4" t="str">
        <f>IFERROR(__xludf.DUMMYFUNCTION("""COMPUTED_VALUE"""),"University Center, MI")</f>
        <v>University Center, MI</v>
      </c>
      <c r="C15" s="4" t="str">
        <f>IFERROR(__xludf.DUMMYFUNCTION("""COMPUTED_VALUE"""),"7400 Bay Rd., C300 University Center, MI 48710")</f>
        <v>7400 Bay Rd., C300 University Center, MI 48710</v>
      </c>
      <c r="D15" s="4">
        <f>IFERROR(__xludf.DUMMYFUNCTION("""COMPUTED_VALUE"""),43.5136)</f>
        <v>43.5136</v>
      </c>
      <c r="E15" s="4">
        <f>IFERROR(__xludf.DUMMYFUNCTION("""COMPUTED_VALUE"""),-83.96116)</f>
        <v>-83.96116</v>
      </c>
      <c r="F15" s="4" t="str">
        <f>IFERROR(__xludf.DUMMYFUNCTION("""COMPUTED_VALUE"""),"MI")</f>
        <v>MI</v>
      </c>
      <c r="G15" s="4" t="str">
        <f>IFERROR(__xludf.DUMMYFUNCTION("""COMPUTED_VALUE"""),"Ecosystem &amp; Business Networks")</f>
        <v>Ecosystem &amp; Business Networks</v>
      </c>
      <c r="H15" s="4" t="str">
        <f>IFERROR(__xludf.DUMMYFUNCTION("""COMPUTED_VALUE"""),"Small business development, entrepreneurship")</f>
        <v>Small business development, entrepreneurship</v>
      </c>
      <c r="I15" s="44" t="str">
        <f>IFERROR(__xludf.DUMMYFUNCTION("""COMPUTED_VALUE"""),"https://www.sbdcmichigan.org/")</f>
        <v>https://www.sbdcmichigan.org/</v>
      </c>
      <c r="J15" s="4" t="str">
        <f>IFERROR(__xludf.DUMMYFUNCTION("""COMPUTED_VALUE"""),"hellinge@gvsu.edu")</f>
        <v>hellinge@gvsu.edu</v>
      </c>
      <c r="K15" s="4"/>
      <c r="L15" s="4" t="str">
        <f>IFERROR(__xludf.DUMMYFUNCTION("""COMPUTED_VALUE"""),"Lizz Hellinga, Assistant State Director, Technology, Strategy &amp; Operations")</f>
        <v>Lizz Hellinga, Assistant State Director, Technology, Strategy &amp; Operations</v>
      </c>
      <c r="M15" s="4" t="str">
        <f>IFERROR(__xludf.DUMMYFUNCTION("""COMPUTED_VALUE"""),"Serving Alcona, Alpena, Arenac, Bay, Cheboygan, Crawford, Iosco, Midland, Montmorency, Ogemaw, Oscode, Otsego, Presque Isle, Roscommon, and Saginaw counties. Saginaw Valley State University.")</f>
        <v>Serving Alcona, Alpena, Arenac, Bay, Cheboygan, Crawford, Iosco, Midland, Montmorency, Ogemaw, Oscode, Otsego, Presque Isle, Roscommon, and Saginaw counties. Saginaw Valley State University.</v>
      </c>
    </row>
    <row r="16">
      <c r="A16" s="4" t="str">
        <f>IFERROR(__xludf.DUMMYFUNCTION("""COMPUTED_VALUE"""),"Michigan Small Business Development Center - Greater Washtenaw Region")</f>
        <v>Michigan Small Business Development Center - Greater Washtenaw Region</v>
      </c>
      <c r="B16" s="4" t="str">
        <f>IFERROR(__xludf.DUMMYFUNCTION("""COMPUTED_VALUE"""),"Ann Arbor, MI")</f>
        <v>Ann Arbor, MI</v>
      </c>
      <c r="C16" s="4" t="str">
        <f>IFERROR(__xludf.DUMMYFUNCTION("""COMPUTED_VALUE"""),"4800 East Huron Driver Dr. Morris Lawrence Building, Room 162. Ann Arbor, MI 48105")</f>
        <v>4800 East Huron Driver Dr. Morris Lawrence Building, Room 162. Ann Arbor, MI 48105</v>
      </c>
      <c r="D16" s="4">
        <f>IFERROR(__xludf.DUMMYFUNCTION("""COMPUTED_VALUE"""),42.26256)</f>
        <v>42.26256</v>
      </c>
      <c r="E16" s="4">
        <f>IFERROR(__xludf.DUMMYFUNCTION("""COMPUTED_VALUE"""),-83.66229)</f>
        <v>-83.66229</v>
      </c>
      <c r="F16" s="4" t="str">
        <f>IFERROR(__xludf.DUMMYFUNCTION("""COMPUTED_VALUE"""),"MI")</f>
        <v>MI</v>
      </c>
      <c r="G16" s="4" t="str">
        <f>IFERROR(__xludf.DUMMYFUNCTION("""COMPUTED_VALUE"""),"Ecosystem &amp; Business Networks")</f>
        <v>Ecosystem &amp; Business Networks</v>
      </c>
      <c r="H16" s="4" t="str">
        <f>IFERROR(__xludf.DUMMYFUNCTION("""COMPUTED_VALUE"""),"Small business development, entrepreneurship")</f>
        <v>Small business development, entrepreneurship</v>
      </c>
      <c r="I16" s="44" t="str">
        <f>IFERROR(__xludf.DUMMYFUNCTION("""COMPUTED_VALUE"""),"https://www.sbdcmichigan.org/")</f>
        <v>https://www.sbdcmichigan.org/</v>
      </c>
      <c r="J16" s="4" t="str">
        <f>IFERROR(__xludf.DUMMYFUNCTION("""COMPUTED_VALUE"""),"hellinge@gvsu.edu")</f>
        <v>hellinge@gvsu.edu</v>
      </c>
      <c r="K16" s="4"/>
      <c r="L16" s="4" t="str">
        <f>IFERROR(__xludf.DUMMYFUNCTION("""COMPUTED_VALUE"""),"Lizz Hellinga, Assistant State Director, Technology, Strategy &amp; Operations")</f>
        <v>Lizz Hellinga, Assistant State Director, Technology, Strategy &amp; Operations</v>
      </c>
      <c r="M16" s="4" t="str">
        <f>IFERROR(__xludf.DUMMYFUNCTION("""COMPUTED_VALUE"""),"Serving Hillsdale, Jackson, Lenawee, Livingston, Monroe, Wasthenaw counties. Washtenaw Community College.")</f>
        <v>Serving Hillsdale, Jackson, Lenawee, Livingston, Monroe, Wasthenaw counties. Washtenaw Community College.</v>
      </c>
    </row>
    <row r="17">
      <c r="A17" s="4" t="str">
        <f>IFERROR(__xludf.DUMMYFUNCTION("""COMPUTED_VALUE"""),"Michigan Small Business Development Center - Mid Michigan Region")</f>
        <v>Michigan Small Business Development Center - Mid Michigan Region</v>
      </c>
      <c r="B17" s="4" t="str">
        <f>IFERROR(__xludf.DUMMYFUNCTION("""COMPUTED_VALUE"""),"Mr. Pleasant, MI")</f>
        <v>Mr. Pleasant, MI</v>
      </c>
      <c r="C17" s="4" t="str">
        <f>IFERROR(__xludf.DUMMYFUNCTION("""COMPUTED_VALUE"""),"2600 S. Summerton Rd. Mt. Pleasant, MI 48858")</f>
        <v>2600 S. Summerton Rd. Mt. Pleasant, MI 48858</v>
      </c>
      <c r="D17" s="4">
        <f>IFERROR(__xludf.DUMMYFUNCTION("""COMPUTED_VALUE"""),43.603749228278)</f>
        <v>43.60374923</v>
      </c>
      <c r="E17" s="4">
        <f>IFERROR(__xludf.DUMMYFUNCTION("""COMPUTED_VALUE"""),-84.7295607029958)</f>
        <v>-84.7295607</v>
      </c>
      <c r="F17" s="4" t="str">
        <f>IFERROR(__xludf.DUMMYFUNCTION("""COMPUTED_VALUE"""),"MI")</f>
        <v>MI</v>
      </c>
      <c r="G17" s="4" t="str">
        <f>IFERROR(__xludf.DUMMYFUNCTION("""COMPUTED_VALUE"""),"Ecosystem &amp; Business Networks")</f>
        <v>Ecosystem &amp; Business Networks</v>
      </c>
      <c r="H17" s="4" t="str">
        <f>IFERROR(__xludf.DUMMYFUNCTION("""COMPUTED_VALUE"""),"Small business development, entrepreneurship")</f>
        <v>Small business development, entrepreneurship</v>
      </c>
      <c r="I17" s="44" t="str">
        <f>IFERROR(__xludf.DUMMYFUNCTION("""COMPUTED_VALUE"""),"https://www.sbdcmichigan.org/")</f>
        <v>https://www.sbdcmichigan.org/</v>
      </c>
      <c r="J17" s="4" t="str">
        <f>IFERROR(__xludf.DUMMYFUNCTION("""COMPUTED_VALUE"""),"hellinge@gvsu.edu")</f>
        <v>hellinge@gvsu.edu</v>
      </c>
      <c r="K17" s="4"/>
      <c r="L17" s="4" t="str">
        <f>IFERROR(__xludf.DUMMYFUNCTION("""COMPUTED_VALUE"""),"Lizz Hellinga, Assistant State Director, Technology, Strategy &amp; Operations")</f>
        <v>Lizz Hellinga, Assistant State Director, Technology, Strategy &amp; Operations</v>
      </c>
      <c r="M17" s="4" t="str">
        <f>IFERROR(__xludf.DUMMYFUNCTION("""COMPUTED_VALUE"""),"Serving Clare, Gladwin, Gratiot, and Isabella counties. Mid Michigan College.")</f>
        <v>Serving Clare, Gladwin, Gratiot, and Isabella counties. Mid Michigan College.</v>
      </c>
    </row>
    <row r="18">
      <c r="A18" s="4" t="str">
        <f>IFERROR(__xludf.DUMMYFUNCTION("""COMPUTED_VALUE"""),"Michigan Small Business Development Center - Northwest Region")</f>
        <v>Michigan Small Business Development Center - Northwest Region</v>
      </c>
      <c r="B18" s="4" t="str">
        <f>IFERROR(__xludf.DUMMYFUNCTION("""COMPUTED_VALUE"""),"Cadillac, MI")</f>
        <v>Cadillac, MI</v>
      </c>
      <c r="C18" s="4" t="str">
        <f>IFERROR(__xludf.DUMMYFUNCTION("""COMPUTED_VALUE"""),"9600 E. 13th St. Cadillac, MI 49601")</f>
        <v>9600 E. 13th St. Cadillac, MI 49601</v>
      </c>
      <c r="D18" s="4">
        <f>IFERROR(__xludf.DUMMYFUNCTION("""COMPUTED_VALUE"""),44.2650976710796)</f>
        <v>44.26509767</v>
      </c>
      <c r="E18" s="4">
        <f>IFERROR(__xludf.DUMMYFUNCTION("""COMPUTED_VALUE"""),-85.3846577643363)</f>
        <v>-85.38465776</v>
      </c>
      <c r="F18" s="4" t="str">
        <f>IFERROR(__xludf.DUMMYFUNCTION("""COMPUTED_VALUE"""),"MI")</f>
        <v>MI</v>
      </c>
      <c r="G18" s="4" t="str">
        <f>IFERROR(__xludf.DUMMYFUNCTION("""COMPUTED_VALUE"""),"Ecosystem &amp; Business Networks")</f>
        <v>Ecosystem &amp; Business Networks</v>
      </c>
      <c r="H18" s="4" t="str">
        <f>IFERROR(__xludf.DUMMYFUNCTION("""COMPUTED_VALUE"""),"Small business development, entrepreneurship")</f>
        <v>Small business development, entrepreneurship</v>
      </c>
      <c r="I18" s="44" t="str">
        <f>IFERROR(__xludf.DUMMYFUNCTION("""COMPUTED_VALUE"""),"https://www.sbdcmichigan.org/")</f>
        <v>https://www.sbdcmichigan.org/</v>
      </c>
      <c r="J18" s="4" t="str">
        <f>IFERROR(__xludf.DUMMYFUNCTION("""COMPUTED_VALUE"""),"hellinge@gvsu.edu")</f>
        <v>hellinge@gvsu.edu</v>
      </c>
      <c r="K18" s="4"/>
      <c r="L18" s="4" t="str">
        <f>IFERROR(__xludf.DUMMYFUNCTION("""COMPUTED_VALUE"""),"Lizz Hellinga, Assistant State Director, Technology, Strategy &amp; Operations")</f>
        <v>Lizz Hellinga, Assistant State Director, Technology, Strategy &amp; Operations</v>
      </c>
      <c r="M18" s="4" t="str">
        <f>IFERROR(__xludf.DUMMYFUNCTION("""COMPUTED_VALUE"""),"Serving Antrim, Benzie, Charlevoix, Emmet, Grand Traverse, Kalkaska, Leelanau, Manistee, Missaukee, and Wexford counties. Baker College.")</f>
        <v>Serving Antrim, Benzie, Charlevoix, Emmet, Grand Traverse, Kalkaska, Leelanau, Manistee, Missaukee, and Wexford counties. Baker College.</v>
      </c>
    </row>
    <row r="19">
      <c r="A19" s="4" t="str">
        <f>IFERROR(__xludf.DUMMYFUNCTION("""COMPUTED_VALUE"""),"Michigan Small Business Development Center - Southeast Region")</f>
        <v>Michigan Small Business Development Center - Southeast Region</v>
      </c>
      <c r="B19" s="4" t="str">
        <f>IFERROR(__xludf.DUMMYFUNCTION("""COMPUTED_VALUE"""),"Ypsilanti, MI")</f>
        <v>Ypsilanti, MI</v>
      </c>
      <c r="C19" s="4" t="str">
        <f>IFERROR(__xludf.DUMMYFUNCTION("""COMPUTED_VALUE"""),"109 Hill Hall, 1125 Oakwood St, Ypsilanti, MI 48197")</f>
        <v>109 Hill Hall, 1125 Oakwood St, Ypsilanti, MI 48197</v>
      </c>
      <c r="D19" s="4">
        <f>IFERROR(__xludf.DUMMYFUNCTION("""COMPUTED_VALUE"""),42.2513190482976)</f>
        <v>42.25131905</v>
      </c>
      <c r="E19" s="4">
        <f>IFERROR(__xludf.DUMMYFUNCTION("""COMPUTED_VALUE"""),-83.6291335707632)</f>
        <v>-83.62913357</v>
      </c>
      <c r="F19" s="4" t="str">
        <f>IFERROR(__xludf.DUMMYFUNCTION("""COMPUTED_VALUE"""),"MI")</f>
        <v>MI</v>
      </c>
      <c r="G19" s="4" t="str">
        <f>IFERROR(__xludf.DUMMYFUNCTION("""COMPUTED_VALUE"""),"Ecosystem &amp; Business Networks")</f>
        <v>Ecosystem &amp; Business Networks</v>
      </c>
      <c r="H19" s="4" t="str">
        <f>IFERROR(__xludf.DUMMYFUNCTION("""COMPUTED_VALUE"""),"Small business development, entrepreneurship")</f>
        <v>Small business development, entrepreneurship</v>
      </c>
      <c r="I19" s="44" t="str">
        <f>IFERROR(__xludf.DUMMYFUNCTION("""COMPUTED_VALUE"""),"https://www.sbdcmichigan.org/")</f>
        <v>https://www.sbdcmichigan.org/</v>
      </c>
      <c r="J19" s="4" t="str">
        <f>IFERROR(__xludf.DUMMYFUNCTION("""COMPUTED_VALUE"""),"hellinge@gvsu.edu")</f>
        <v>hellinge@gvsu.edu</v>
      </c>
      <c r="K19" s="4"/>
      <c r="L19" s="4" t="str">
        <f>IFERROR(__xludf.DUMMYFUNCTION("""COMPUTED_VALUE"""),"Lizz Hellinga, Assistant State Director, Technology, Strategy &amp; Operations")</f>
        <v>Lizz Hellinga, Assistant State Director, Technology, Strategy &amp; Operations</v>
      </c>
      <c r="M19" s="4" t="str">
        <f>IFERROR(__xludf.DUMMYFUNCTION("""COMPUTED_VALUE"""),"Serving Macomb, Oakland, and Wayne counties. Eastern Michigan University.")</f>
        <v>Serving Macomb, Oakland, and Wayne counties. Eastern Michigan University.</v>
      </c>
    </row>
    <row r="20">
      <c r="A20" s="4" t="str">
        <f>IFERROR(__xludf.DUMMYFUNCTION("""COMPUTED_VALUE"""),"Michigan Small Business Development Center - Southwest Region")</f>
        <v>Michigan Small Business Development Center - Southwest Region</v>
      </c>
      <c r="B20" s="4" t="str">
        <f>IFERROR(__xludf.DUMMYFUNCTION("""COMPUTED_VALUE"""),"Kalamazoo, MI")</f>
        <v>Kalamazoo, MI</v>
      </c>
      <c r="C20" s="4" t="str">
        <f>IFERROR(__xludf.DUMMYFUNCTION("""COMPUTED_VALUE"""),"262 W. Walwood Hall, 741 Oakland Drive, Kalamazoo, MI 49008")</f>
        <v>262 W. Walwood Hall, 741 Oakland Drive, Kalamazoo, MI 49008</v>
      </c>
      <c r="D20" s="4">
        <f>IFERROR(__xludf.DUMMYFUNCTION("""COMPUTED_VALUE"""),42.2841019694694)</f>
        <v>42.28410197</v>
      </c>
      <c r="E20" s="4">
        <f>IFERROR(__xludf.DUMMYFUNCTION("""COMPUTED_VALUE"""),-85.5977103877162)</f>
        <v>-85.59771039</v>
      </c>
      <c r="F20" s="4" t="str">
        <f>IFERROR(__xludf.DUMMYFUNCTION("""COMPUTED_VALUE"""),"MI")</f>
        <v>MI</v>
      </c>
      <c r="G20" s="4" t="str">
        <f>IFERROR(__xludf.DUMMYFUNCTION("""COMPUTED_VALUE"""),"Ecosystem &amp; Business Networks")</f>
        <v>Ecosystem &amp; Business Networks</v>
      </c>
      <c r="H20" s="4" t="str">
        <f>IFERROR(__xludf.DUMMYFUNCTION("""COMPUTED_VALUE"""),"Small business development, entrepreneurship")</f>
        <v>Small business development, entrepreneurship</v>
      </c>
      <c r="I20" s="44" t="str">
        <f>IFERROR(__xludf.DUMMYFUNCTION("""COMPUTED_VALUE"""),"https://www.sbdcmichigan.org/")</f>
        <v>https://www.sbdcmichigan.org/</v>
      </c>
      <c r="J20" s="4" t="str">
        <f>IFERROR(__xludf.DUMMYFUNCTION("""COMPUTED_VALUE"""),"hellinge@gvsu.edu")</f>
        <v>hellinge@gvsu.edu</v>
      </c>
      <c r="K20" s="4"/>
      <c r="L20" s="4" t="str">
        <f>IFERROR(__xludf.DUMMYFUNCTION("""COMPUTED_VALUE"""),"Lizz Hellinga, Assistant State Director, Technology, Strategy &amp; Operations")</f>
        <v>Lizz Hellinga, Assistant State Director, Technology, Strategy &amp; Operations</v>
      </c>
      <c r="M20" s="4" t="str">
        <f>IFERROR(__xludf.DUMMYFUNCTION("""COMPUTED_VALUE"""),"Serving Berrien, Branch, Calhoun, Cass, Kalamazoo, St. Joseph, and Van Buren counties. Western Michigan University.")</f>
        <v>Serving Berrien, Branch, Calhoun, Cass, Kalamazoo, St. Joseph, and Van Buren counties. Western Michigan University.</v>
      </c>
    </row>
    <row r="21" ht="15.75" customHeight="1">
      <c r="A21" s="4" t="str">
        <f>IFERROR(__xludf.DUMMYFUNCTION("""COMPUTED_VALUE"""),"Michigan Small Business Development Center - Upper Peninsula Region")</f>
        <v>Michigan Small Business Development Center - Upper Peninsula Region</v>
      </c>
      <c r="B21" s="4" t="str">
        <f>IFERROR(__xludf.DUMMYFUNCTION("""COMPUTED_VALUE"""),"Houghton, MI")</f>
        <v>Houghton, MI</v>
      </c>
      <c r="C21" s="4" t="str">
        <f>IFERROR(__xludf.DUMMYFUNCTION("""COMPUTED_VALUE"""),"1400 Townsend Dr, Houghton, MI 49931")</f>
        <v>1400 Townsend Dr, Houghton, MI 49931</v>
      </c>
      <c r="D21" s="4">
        <f>IFERROR(__xludf.DUMMYFUNCTION("""COMPUTED_VALUE"""),47.1216)</f>
        <v>47.1216</v>
      </c>
      <c r="E21" s="4">
        <f>IFERROR(__xludf.DUMMYFUNCTION("""COMPUTED_VALUE"""),-88.5694)</f>
        <v>-88.5694</v>
      </c>
      <c r="F21" s="4" t="str">
        <f>IFERROR(__xludf.DUMMYFUNCTION("""COMPUTED_VALUE"""),"MI")</f>
        <v>MI</v>
      </c>
      <c r="G21" s="4" t="str">
        <f>IFERROR(__xludf.DUMMYFUNCTION("""COMPUTED_VALUE"""),"Ecosystem &amp; Business Networks")</f>
        <v>Ecosystem &amp; Business Networks</v>
      </c>
      <c r="H21" s="4" t="str">
        <f>IFERROR(__xludf.DUMMYFUNCTION("""COMPUTED_VALUE"""),"Small business development, entrepreneurship")</f>
        <v>Small business development, entrepreneurship</v>
      </c>
      <c r="I21" s="44" t="str">
        <f>IFERROR(__xludf.DUMMYFUNCTION("""COMPUTED_VALUE"""),"https://www.sbdcmichigan.org/")</f>
        <v>https://www.sbdcmichigan.org/</v>
      </c>
      <c r="J21" s="4" t="str">
        <f>IFERROR(__xludf.DUMMYFUNCTION("""COMPUTED_VALUE"""),"hellinge@gvsu.edu")</f>
        <v>hellinge@gvsu.edu</v>
      </c>
      <c r="K21" s="4"/>
      <c r="L21" s="4" t="str">
        <f>IFERROR(__xludf.DUMMYFUNCTION("""COMPUTED_VALUE"""),"Lizz Hellinga, Assistant State Director, Technology, Strategy &amp; Operations")</f>
        <v>Lizz Hellinga, Assistant State Director, Technology, Strategy &amp; Operations</v>
      </c>
      <c r="M21" s="4" t="str">
        <f>IFERROR(__xludf.DUMMYFUNCTION("""COMPUTED_VALUE"""),"Serving Alger, Baraga, Chippewa, Delta, Dickinson, Gogebic, Houghton, Iron, Keweenaw, Luce, Mackinac, Marquette, Menominee, ONtonagon, and Schoolcraft counties. Michigan Technological University.")</f>
        <v>Serving Alger, Baraga, Chippewa, Delta, Dickinson, Gogebic, Houghton, Iron, Keweenaw, Luce, Mackinac, Marquette, Menominee, ONtonagon, and Schoolcraft counties. Michigan Technological University.</v>
      </c>
    </row>
    <row r="22" ht="15.75" customHeight="1">
      <c r="A22" s="4" t="str">
        <f>IFERROR(__xludf.DUMMYFUNCTION("""COMPUTED_VALUE"""),"Michigan Small Business Development Center - West Michigan Region")</f>
        <v>Michigan Small Business Development Center - West Michigan Region</v>
      </c>
      <c r="B22" s="4" t="str">
        <f>IFERROR(__xludf.DUMMYFUNCTION("""COMPUTED_VALUE"""),"Grand Rapids, MI")</f>
        <v>Grand Rapids, MI</v>
      </c>
      <c r="C22" s="4" t="str">
        <f>IFERROR(__xludf.DUMMYFUNCTION("""COMPUTED_VALUE"""),"50 Front Ave. SW L. William Seidman Center, Suite 1081, Grand Rapids, MI 49504")</f>
        <v>50 Front Ave. SW L. William Seidman Center, Suite 1081, Grand Rapids, MI 49504</v>
      </c>
      <c r="D22" s="4">
        <f>IFERROR(__xludf.DUMMYFUNCTION("""COMPUTED_VALUE"""),42.9618343429473)</f>
        <v>42.96183434</v>
      </c>
      <c r="E22" s="4">
        <f>IFERROR(__xludf.DUMMYFUNCTION("""COMPUTED_VALUE"""),-85.6792428032635)</f>
        <v>-85.6792428</v>
      </c>
      <c r="F22" s="4" t="str">
        <f>IFERROR(__xludf.DUMMYFUNCTION("""COMPUTED_VALUE"""),"MI")</f>
        <v>MI</v>
      </c>
      <c r="G22" s="4" t="str">
        <f>IFERROR(__xludf.DUMMYFUNCTION("""COMPUTED_VALUE"""),"Ecosystem &amp; Business Networks")</f>
        <v>Ecosystem &amp; Business Networks</v>
      </c>
      <c r="H22" s="4" t="str">
        <f>IFERROR(__xludf.DUMMYFUNCTION("""COMPUTED_VALUE"""),"Small business development, entrepreneurship")</f>
        <v>Small business development, entrepreneurship</v>
      </c>
      <c r="I22" s="44" t="str">
        <f>IFERROR(__xludf.DUMMYFUNCTION("""COMPUTED_VALUE"""),"https://www.sbdcmichigan.org/")</f>
        <v>https://www.sbdcmichigan.org/</v>
      </c>
      <c r="J22" s="4" t="str">
        <f>IFERROR(__xludf.DUMMYFUNCTION("""COMPUTED_VALUE"""),"hellinge@gvsu.edu")</f>
        <v>hellinge@gvsu.edu</v>
      </c>
      <c r="K22" s="4"/>
      <c r="L22" s="4" t="str">
        <f>IFERROR(__xludf.DUMMYFUNCTION("""COMPUTED_VALUE"""),"Lizz Hellinga, Assistant State Director, Technology, Strategy &amp; Operations")</f>
        <v>Lizz Hellinga, Assistant State Director, Technology, Strategy &amp; Operations</v>
      </c>
      <c r="M22" s="4" t="str">
        <f>IFERROR(__xludf.DUMMYFUNCTION("""COMPUTED_VALUE"""),"Serving Allegan, Barry, Ionia, Kent, Lake, Mason, Mecosta, Montcalm, Muskegon, Newaygo, Oceana, Osceola, and Ottawa counties. Grand Valley State University.")</f>
        <v>Serving Allegan, Barry, Ionia, Kent, Lake, Mason, Mecosta, Montcalm, Muskegon, Newaygo, Oceana, Osceola, and Ottawa counties. Grand Valley State University.</v>
      </c>
    </row>
    <row r="23" ht="15.75" customHeight="1">
      <c r="A23" s="4" t="str">
        <f>IFERROR(__xludf.DUMMYFUNCTION("""COMPUTED_VALUE"""),"Michigan Small Business Support Hubs")</f>
        <v>Michigan Small Business Support Hubs</v>
      </c>
      <c r="B23" s="4" t="str">
        <f>IFERROR(__xludf.DUMMYFUNCTION("""COMPUTED_VALUE"""),"Okemos, MI")</f>
        <v>Okemos, MI</v>
      </c>
      <c r="C23" s="4" t="str">
        <f>IFERROR(__xludf.DUMMYFUNCTION("""COMPUTED_VALUE"""),"2501 Woodlake Circle, Okemos, MI 48864")</f>
        <v>2501 Woodlake Circle, Okemos, MI 48864</v>
      </c>
      <c r="D23" s="4">
        <f>IFERROR(__xludf.DUMMYFUNCTION("""COMPUTED_VALUE"""),42.6795873206519)</f>
        <v>42.67958732</v>
      </c>
      <c r="E23" s="4">
        <f>IFERROR(__xludf.DUMMYFUNCTION("""COMPUTED_VALUE"""),-84.4423477744423)</f>
        <v>-84.44234777</v>
      </c>
      <c r="F23" s="4" t="str">
        <f>IFERROR(__xludf.DUMMYFUNCTION("""COMPUTED_VALUE"""),"MI")</f>
        <v>MI</v>
      </c>
      <c r="G23" s="4" t="str">
        <f>IFERROR(__xludf.DUMMYFUNCTION("""COMPUTED_VALUE"""),"Ecosystem &amp; Business Networks")</f>
        <v>Ecosystem &amp; Business Networks</v>
      </c>
      <c r="H23" s="4" t="str">
        <f>IFERROR(__xludf.DUMMYFUNCTION("""COMPUTED_VALUE"""),"Entrepreneurship, innovation, tech startups, community development")</f>
        <v>Entrepreneurship, innovation, tech startups, community development</v>
      </c>
      <c r="I23" s="44" t="str">
        <f>IFERROR(__xludf.DUMMYFUNCTION("""COMPUTED_VALUE"""),"https://www.michigan.gov/leo/initiatives/mi-small-business")</f>
        <v>https://www.michigan.gov/leo/initiatives/mi-small-business</v>
      </c>
      <c r="J23" s="4"/>
      <c r="K23" s="4" t="str">
        <f>IFERROR(__xludf.DUMMYFUNCTION("""COMPUTED_VALUE"""),"888.522.0103")</f>
        <v>888.522.0103</v>
      </c>
      <c r="L23" s="4"/>
      <c r="M23" s="4" t="str">
        <f>IFERROR(__xludf.DUMMYFUNCTION("""COMPUTED_VALUE"""),"Programs such as small business lending, manufacturing technology grants, early stage funding, mobility funding, and the Michigan business development program.")</f>
        <v>Programs such as small business lending, manufacturing technology grants, early stage funding, mobility funding, and the Michigan business development program.</v>
      </c>
    </row>
    <row r="24" ht="15.75" customHeight="1">
      <c r="A24" s="4" t="str">
        <f>IFERROR(__xludf.DUMMYFUNCTION("""COMPUTED_VALUE"""),"Brantford-Brant Business Resource Enterprise Centre")</f>
        <v>Brantford-Brant Business Resource Enterprise Centre</v>
      </c>
      <c r="B24" s="4" t="str">
        <f>IFERROR(__xludf.DUMMYFUNCTION("""COMPUTED_VALUE"""),"Brantford, ON")</f>
        <v>Brantford, ON</v>
      </c>
      <c r="C24" s="4" t="str">
        <f>IFERROR(__xludf.DUMMYFUNCTION("""COMPUTED_VALUE"""),"58 Dalhousie St, Brantford, ON N3T 2J2")</f>
        <v>58 Dalhousie St, Brantford, ON N3T 2J2</v>
      </c>
      <c r="D24" s="4">
        <f>IFERROR(__xludf.DUMMYFUNCTION("""COMPUTED_VALUE"""),43.13943)</f>
        <v>43.13943</v>
      </c>
      <c r="E24" s="4">
        <f>IFERROR(__xludf.DUMMYFUNCTION("""COMPUTED_VALUE"""),-80.26564)</f>
        <v>-80.26564</v>
      </c>
      <c r="F24" s="4" t="str">
        <f>IFERROR(__xludf.DUMMYFUNCTION("""COMPUTED_VALUE"""),"ON")</f>
        <v>ON</v>
      </c>
      <c r="G24" s="4" t="str">
        <f>IFERROR(__xludf.DUMMYFUNCTION("""COMPUTED_VALUE"""),"Ecosystem &amp; Business Networks")</f>
        <v>Ecosystem &amp; Business Networks</v>
      </c>
      <c r="H24" s="4" t="str">
        <f>IFERROR(__xludf.DUMMYFUNCTION("""COMPUTED_VALUE"""),"Business consulting, training, funding access")</f>
        <v>Business consulting, training, funding access</v>
      </c>
      <c r="I24" s="44" t="str">
        <f>IFERROR(__xludf.DUMMYFUNCTION("""COMPUTED_VALUE"""),"https://www.brantford.ca/en/business-and-development/business-resource-centre.aspx")</f>
        <v>https://www.brantford.ca/en/business-and-development/business-resource-centre.aspx</v>
      </c>
      <c r="J24" s="4" t="str">
        <f>IFERROR(__xludf.DUMMYFUNCTION("""COMPUTED_VALUE"""),"brc@brantford.ca")</f>
        <v>brc@brantford.ca</v>
      </c>
      <c r="K24" s="4" t="str">
        <f>IFERROR(__xludf.DUMMYFUNCTION("""COMPUTED_VALUE"""),"519-756-4269")</f>
        <v>519-756-4269</v>
      </c>
      <c r="L24" s="4"/>
      <c r="M24" s="4" t="str">
        <f>IFERROR(__xludf.DUMMYFUNCTION("""COMPUTED_VALUE"""),"Offers free business advice with expert advisors who have hands-on business experience.")</f>
        <v>Offers free business advice with expert advisors who have hands-on business experience.</v>
      </c>
    </row>
    <row r="25" ht="15.75" customHeight="1">
      <c r="A25" s="4" t="str">
        <f>IFERROR(__xludf.DUMMYFUNCTION("""COMPUTED_VALUE"""),"Canadian Tooling &amp; Machining Association (CTMA)")</f>
        <v>Canadian Tooling &amp; Machining Association (CTMA)</v>
      </c>
      <c r="B25" s="4" t="str">
        <f>IFERROR(__xludf.DUMMYFUNCTION("""COMPUTED_VALUE"""),"Cambridge, ON")</f>
        <v>Cambridge, ON</v>
      </c>
      <c r="C25" s="4" t="str">
        <f>IFERROR(__xludf.DUMMYFUNCTION("""COMPUTED_VALUE"""),"140 McGovern Drive, Unit #3, Cambridge, ON N3H 4R7")</f>
        <v>140 McGovern Drive, Unit #3, Cambridge, ON N3H 4R7</v>
      </c>
      <c r="D25" s="4">
        <f>IFERROR(__xludf.DUMMYFUNCTION("""COMPUTED_VALUE"""),43.4101)</f>
        <v>43.4101</v>
      </c>
      <c r="E25" s="4">
        <f>IFERROR(__xludf.DUMMYFUNCTION("""COMPUTED_VALUE"""),-80.3329)</f>
        <v>-80.3329</v>
      </c>
      <c r="F25" s="4" t="str">
        <f>IFERROR(__xludf.DUMMYFUNCTION("""COMPUTED_VALUE"""),"ON")</f>
        <v>ON</v>
      </c>
      <c r="G25" s="4" t="str">
        <f>IFERROR(__xludf.DUMMYFUNCTION("""COMPUTED_VALUE"""),"Ecosystem &amp; Business Networks")</f>
        <v>Ecosystem &amp; Business Networks</v>
      </c>
      <c r="H25" s="4" t="str">
        <f>IFERROR(__xludf.DUMMYFUNCTION("""COMPUTED_VALUE"""),"Manufacturing, tooling, machining")</f>
        <v>Manufacturing, tooling, machining</v>
      </c>
      <c r="I25" s="44" t="str">
        <f>IFERROR(__xludf.DUMMYFUNCTION("""COMPUTED_VALUE"""),"https://www.ctma.com/")</f>
        <v>https://www.ctma.com/</v>
      </c>
      <c r="J25" s="4" t="str">
        <f>IFERROR(__xludf.DUMMYFUNCTION("""COMPUTED_VALUE"""),"info@ctma.com")</f>
        <v>info@ctma.com</v>
      </c>
      <c r="K25" s="4" t="str">
        <f>IFERROR(__xludf.DUMMYFUNCTION("""COMPUTED_VALUE"""),"519-653-7265")</f>
        <v>519-653-7265</v>
      </c>
      <c r="L25" s="4"/>
      <c r="M25" s="4" t="str">
        <f>IFERROR(__xludf.DUMMYFUNCTION("""COMPUTED_VALUE"""),"Represents, supports, and promotes the interests of tooling &amp; machining.")</f>
        <v>Represents, supports, and promotes the interests of tooling &amp; machining.</v>
      </c>
    </row>
    <row r="26" ht="15.75" customHeight="1">
      <c r="A26" s="4" t="str">
        <f>IFERROR(__xludf.DUMMYFUNCTION("""COMPUTED_VALUE"""),"Communitech")</f>
        <v>Communitech</v>
      </c>
      <c r="B26" s="4" t="str">
        <f>IFERROR(__xludf.DUMMYFUNCTION("""COMPUTED_VALUE"""),"Kitchener, ON")</f>
        <v>Kitchener, ON</v>
      </c>
      <c r="C26" s="4" t="str">
        <f>IFERROR(__xludf.DUMMYFUNCTION("""COMPUTED_VALUE"""),"151 Charles St W, Kitchener, ON N2G 1H6")</f>
        <v>151 Charles St W, Kitchener, ON N2G 1H6</v>
      </c>
      <c r="D26" s="4">
        <f>IFERROR(__xludf.DUMMYFUNCTION("""COMPUTED_VALUE"""),43.4512)</f>
        <v>43.4512</v>
      </c>
      <c r="E26" s="4">
        <f>IFERROR(__xludf.DUMMYFUNCTION("""COMPUTED_VALUE"""),-80.4983)</f>
        <v>-80.4983</v>
      </c>
      <c r="F26" s="4" t="str">
        <f>IFERROR(__xludf.DUMMYFUNCTION("""COMPUTED_VALUE"""),"ON")</f>
        <v>ON</v>
      </c>
      <c r="G26" s="4" t="str">
        <f>IFERROR(__xludf.DUMMYFUNCTION("""COMPUTED_VALUE"""),"Ecosystem &amp; Business Networks")</f>
        <v>Ecosystem &amp; Business Networks</v>
      </c>
      <c r="H26" s="4" t="str">
        <f>IFERROR(__xludf.DUMMYFUNCTION("""COMPUTED_VALUE"""),"Technology, innovation, startup ecosystem, digital industries, venture funding")</f>
        <v>Technology, innovation, startup ecosystem, digital industries, venture funding</v>
      </c>
      <c r="I26" s="44" t="str">
        <f>IFERROR(__xludf.DUMMYFUNCTION("""COMPUTED_VALUE"""),"https://www.communitech.ca/")</f>
        <v>https://www.communitech.ca/</v>
      </c>
      <c r="J26" s="4" t="str">
        <f>IFERROR(__xludf.DUMMYFUNCTION("""COMPUTED_VALUE"""),"front.desk@communitech.ca")</f>
        <v>front.desk@communitech.ca</v>
      </c>
      <c r="K26" s="4" t="str">
        <f>IFERROR(__xludf.DUMMYFUNCTION("""COMPUTED_VALUE"""),"519-888-9944")</f>
        <v>519-888-9944</v>
      </c>
      <c r="L26" s="4"/>
      <c r="M26" s="4" t="str">
        <f>IFERROR(__xludf.DUMMYFUNCTION("""COMPUTED_VALUE"""),"Helps tech companies start, grow, and succeed in Waterloo Region.")</f>
        <v>Helps tech companies start, grow, and succeed in Waterloo Region.</v>
      </c>
    </row>
    <row r="27" ht="15.75" customHeight="1">
      <c r="A27" s="4" t="str">
        <f>IFERROR(__xludf.DUMMYFUNCTION("""COMPUTED_VALUE"""),"TechAlliance of Southwestern Ontario")</f>
        <v>TechAlliance of Southwestern Ontario</v>
      </c>
      <c r="B27" s="4" t="str">
        <f>IFERROR(__xludf.DUMMYFUNCTION("""COMPUTED_VALUE"""),"London, ON")</f>
        <v>London, ON</v>
      </c>
      <c r="C27" s="4" t="str">
        <f>IFERROR(__xludf.DUMMYFUNCTION("""COMPUTED_VALUE"""),"333 Dufferin Ave, London, ON N6G 1Z3")</f>
        <v>333 Dufferin Ave, London, ON N6G 1Z3</v>
      </c>
      <c r="D27" s="4">
        <f>IFERROR(__xludf.DUMMYFUNCTION("""COMPUTED_VALUE"""),42.9849)</f>
        <v>42.9849</v>
      </c>
      <c r="E27" s="4">
        <f>IFERROR(__xludf.DUMMYFUNCTION("""COMPUTED_VALUE"""),-81.2453)</f>
        <v>-81.2453</v>
      </c>
      <c r="F27" s="4" t="str">
        <f>IFERROR(__xludf.DUMMYFUNCTION("""COMPUTED_VALUE"""),"ON")</f>
        <v>ON</v>
      </c>
      <c r="G27" s="4" t="str">
        <f>IFERROR(__xludf.DUMMYFUNCTION("""COMPUTED_VALUE"""),"Ecosystem &amp; Business Networks")</f>
        <v>Ecosystem &amp; Business Networks</v>
      </c>
      <c r="H27" s="4" t="str">
        <f>IFERROR(__xludf.DUMMYFUNCTION("""COMPUTED_VALUE"""),"Technology innovation, business growth meetups, funding, resources")</f>
        <v>Technology innovation, business growth meetups, funding, resources</v>
      </c>
      <c r="I27" s="44" t="str">
        <f>IFERROR(__xludf.DUMMYFUNCTION("""COMPUTED_VALUE"""),"https://www.techalliance.ca/")</f>
        <v>https://www.techalliance.ca/</v>
      </c>
      <c r="J27" s="4" t="str">
        <f>IFERROR(__xludf.DUMMYFUNCTION("""COMPUTED_VALUE"""),"hello@techalliance.ca")</f>
        <v>hello@techalliance.ca</v>
      </c>
      <c r="K27" s="4" t="str">
        <f>IFERROR(__xludf.DUMMYFUNCTION("""COMPUTED_VALUE"""),"226-781-7200")</f>
        <v>226-781-7200</v>
      </c>
      <c r="L27" s="4"/>
      <c r="M27" s="4" t="str">
        <f>IFERROR(__xludf.DUMMYFUNCTION("""COMPUTED_VALUE"""),"TechAlliance empowers tech companies and entrepreneurs with free coaching and advisory services to grow Canada's vibrant tech community.")</f>
        <v>TechAlliance empowers tech companies and entrepreneurs with free coaching and advisory services to grow Canada's vibrant tech community.</v>
      </c>
    </row>
    <row r="28" ht="15.75" customHeight="1">
      <c r="A28" s="4" t="str">
        <f>IFERROR(__xludf.DUMMYFUNCTION("""COMPUTED_VALUE"""),"Toronto Global")</f>
        <v>Toronto Global</v>
      </c>
      <c r="B28" s="4" t="str">
        <f>IFERROR(__xludf.DUMMYFUNCTION("""COMPUTED_VALUE"""),"Toronto, ON")</f>
        <v>Toronto, ON</v>
      </c>
      <c r="C28" s="4" t="str">
        <f>IFERROR(__xludf.DUMMYFUNCTION("""COMPUTED_VALUE"""),"225 King Street West Suite 901, Toronto, ON M5V 3M2")</f>
        <v>225 King Street West Suite 901, Toronto, ON M5V 3M2</v>
      </c>
      <c r="D28" s="4">
        <f>IFERROR(__xludf.DUMMYFUNCTION("""COMPUTED_VALUE"""),43.64678)</f>
        <v>43.64678</v>
      </c>
      <c r="E28" s="4">
        <f>IFERROR(__xludf.DUMMYFUNCTION("""COMPUTED_VALUE"""),-79.38822)</f>
        <v>-79.38822</v>
      </c>
      <c r="F28" s="4" t="str">
        <f>IFERROR(__xludf.DUMMYFUNCTION("""COMPUTED_VALUE"""),"ON")</f>
        <v>ON</v>
      </c>
      <c r="G28" s="4" t="str">
        <f>IFERROR(__xludf.DUMMYFUNCTION("""COMPUTED_VALUE"""),"Ecosystem &amp; Business Networks")</f>
        <v>Ecosystem &amp; Business Networks</v>
      </c>
      <c r="H28" s="4" t="str">
        <f>IFERROR(__xludf.DUMMYFUNCTION("""COMPUTED_VALUE"""),"FDI support, Site Selection, International Investors")</f>
        <v>FDI support, Site Selection, International Investors</v>
      </c>
      <c r="I28" s="44" t="str">
        <f>IFERROR(__xludf.DUMMYFUNCTION("""COMPUTED_VALUE"""),"https://torontoglobal.ca/")</f>
        <v>https://torontoglobal.ca/</v>
      </c>
      <c r="J28" s="4" t="str">
        <f>IFERROR(__xludf.DUMMYFUNCTION("""COMPUTED_VALUE"""),"info@torontoglobal.ca")</f>
        <v>info@torontoglobal.ca</v>
      </c>
      <c r="K28" s="4" t="str">
        <f>IFERROR(__xludf.DUMMYFUNCTION("""COMPUTED_VALUE"""),"416-981-3888")</f>
        <v>416-981-3888</v>
      </c>
      <c r="L28" s="4"/>
      <c r="M28" s="4" t="str">
        <f>IFERROR(__xludf.DUMMYFUNCTION("""COMPUTED_VALUE"""),"Understands specific needs and intersts of each company, and offers complimentary services that help streamline access to the information and connections they need most to make a well informed expansion decision.")</f>
        <v>Understands specific needs and intersts of each company, and offers complimentary services that help streamline access to the information and connections they need most to make a well informed expansion decision.</v>
      </c>
    </row>
    <row r="29" ht="15.75" customHeight="1">
      <c r="A29" s="4" t="str">
        <f>IFERROR(__xludf.DUMMYFUNCTION("""COMPUTED_VALUE"""),"Canadian Council for Aboriginal Business (CCAB)")</f>
        <v>Canadian Council for Aboriginal Business (CCAB)</v>
      </c>
      <c r="B29" s="4" t="str">
        <f>IFERROR(__xludf.DUMMYFUNCTION("""COMPUTED_VALUE"""),"Toronto, ON ")</f>
        <v>Toronto, ON </v>
      </c>
      <c r="C29" s="4" t="str">
        <f>IFERROR(__xludf.DUMMYFUNCTION("""COMPUTED_VALUE"""),"2 Berkeley Street, Suite 202 Toronto, Ontario M5A 4J5")</f>
        <v>2 Berkeley Street, Suite 202 Toronto, Ontario M5A 4J5</v>
      </c>
      <c r="D29" s="4">
        <f>IFERROR(__xludf.DUMMYFUNCTION("""COMPUTED_VALUE"""),43.65024)</f>
        <v>43.65024</v>
      </c>
      <c r="E29" s="4">
        <f>IFERROR(__xludf.DUMMYFUNCTION("""COMPUTED_VALUE"""),-79.36388)</f>
        <v>-79.36388</v>
      </c>
      <c r="F29" s="4" t="str">
        <f>IFERROR(__xludf.DUMMYFUNCTION("""COMPUTED_VALUE"""),"ON")</f>
        <v>ON</v>
      </c>
      <c r="G29" s="4" t="str">
        <f>IFERROR(__xludf.DUMMYFUNCTION("""COMPUTED_VALUE"""),"Ecosystem &amp; Business Networks")</f>
        <v>Ecosystem &amp; Business Networks</v>
      </c>
      <c r="H29" s="4" t="str">
        <f>IFERROR(__xludf.DUMMYFUNCTION("""COMPUTED_VALUE"""),"Indigenous entrepreneurship, economic reconciliation initiatives, business development.")</f>
        <v>Indigenous entrepreneurship, economic reconciliation initiatives, business development.</v>
      </c>
      <c r="I29" s="44" t="str">
        <f>IFERROR(__xludf.DUMMYFUNCTION("""COMPUTED_VALUE"""),"https://www.ccib.ca/")</f>
        <v>https://www.ccib.ca/</v>
      </c>
      <c r="J29" s="4" t="str">
        <f>IFERROR(__xludf.DUMMYFUNCTION("""COMPUTED_VALUE"""),"info@ccib.ca")</f>
        <v>info@ccib.ca</v>
      </c>
      <c r="K29" s="4" t="str">
        <f>IFERROR(__xludf.DUMMYFUNCTION("""COMPUTED_VALUE"""),"416-961-8663")</f>
        <v>416-961-8663</v>
      </c>
      <c r="L29" s="4"/>
      <c r="M29" s="4" t="str">
        <f>IFERROR(__xludf.DUMMYFUNCTION("""COMPUTED_VALUE"""),"CCIB helps keep Indigenous businesses at the forefront of the Canadian economy, fostering relationships between Indigenous entrepreneurs and Canada’s institutional enterprises to cultivate shared prosperity.")</f>
        <v>CCIB helps keep Indigenous businesses at the forefront of the Canadian economy, fostering relationships between Indigenous entrepreneurs and Canada’s institutional enterprises to cultivate shared prosperity.</v>
      </c>
    </row>
    <row r="30" ht="15.75" customHeight="1">
      <c r="A30" s="4" t="str">
        <f>IFERROR(__xludf.DUMMYFUNCTION("""COMPUTED_VALUE"""),"Automotive Parts Manufacturers' Association (APMA)")</f>
        <v>Automotive Parts Manufacturers' Association (APMA)</v>
      </c>
      <c r="B30" s="4" t="str">
        <f>IFERROR(__xludf.DUMMYFUNCTION("""COMPUTED_VALUE"""),"Windsor, ON")</f>
        <v>Windsor, ON</v>
      </c>
      <c r="C30" s="4" t="str">
        <f>IFERROR(__xludf.DUMMYFUNCTION("""COMPUTED_VALUE"""),"2285 Wyandotte Street West Suite 3006, Windsor, ON N9B 1K3")</f>
        <v>2285 Wyandotte Street West Suite 3006, Windsor, ON N9B 1K3</v>
      </c>
      <c r="D30" s="4">
        <f>IFERROR(__xludf.DUMMYFUNCTION("""COMPUTED_VALUE"""),42.305)</f>
        <v>42.305</v>
      </c>
      <c r="E30" s="4">
        <f>IFERROR(__xludf.DUMMYFUNCTION("""COMPUTED_VALUE"""),-83.066)</f>
        <v>-83.066</v>
      </c>
      <c r="F30" s="4" t="str">
        <f>IFERROR(__xludf.DUMMYFUNCTION("""COMPUTED_VALUE"""),"ON")</f>
        <v>ON</v>
      </c>
      <c r="G30" s="4" t="str">
        <f>IFERROR(__xludf.DUMMYFUNCTION("""COMPUTED_VALUE"""),"Ecosystem &amp; Business Networks")</f>
        <v>Ecosystem &amp; Business Networks</v>
      </c>
      <c r="H30" s="4" t="str">
        <f>IFERROR(__xludf.DUMMYFUNCTION("""COMPUTED_VALUE"""),"Automotive manufacturing, innovation")</f>
        <v>Automotive manufacturing, innovation</v>
      </c>
      <c r="I30" s="44" t="str">
        <f>IFERROR(__xludf.DUMMYFUNCTION("""COMPUTED_VALUE"""),"https://www.apma.ca/")</f>
        <v>https://www.apma.ca/</v>
      </c>
      <c r="J30" s="4" t="str">
        <f>IFERROR(__xludf.DUMMYFUNCTION("""COMPUTED_VALUE"""),"info@apma.ca")</f>
        <v>info@apma.ca</v>
      </c>
      <c r="K30" s="4" t="str">
        <f>IFERROR(__xludf.DUMMYFUNCTION("""COMPUTED_VALUE"""),"-")</f>
        <v>-</v>
      </c>
      <c r="L30" s="4"/>
      <c r="M30" s="4" t="str">
        <f>IFERROR(__xludf.DUMMYFUNCTION("""COMPUTED_VALUE"""),"Represents Canada's OEM supppliers to the global automotive sector, specializing in volume parts, tooling, automation, software, advanced materials, critical minerals, and EV battery technology.")</f>
        <v>Represents Canada's OEM supppliers to the global automotive sector, specializing in volume parts, tooling, automation, software, advanced materials, critical minerals, and EV battery technology.</v>
      </c>
    </row>
    <row r="31" ht="15.75" customHeight="1">
      <c r="A31" s="4" t="str">
        <f>IFERROR(__xludf.DUMMYFUNCTION("""COMPUTED_VALUE"""),"Workforce Windsor Essex")</f>
        <v>Workforce Windsor Essex</v>
      </c>
      <c r="B31" s="4" t="str">
        <f>IFERROR(__xludf.DUMMYFUNCTION("""COMPUTED_VALUE"""),"Windsor, ON")</f>
        <v>Windsor, ON</v>
      </c>
      <c r="C31" s="4" t="str">
        <f>IFERROR(__xludf.DUMMYFUNCTION("""COMPUTED_VALUE"""),"3295 Quality Way, Suite 150, Windsor, ON N8T 3R9")</f>
        <v>3295 Quality Way, Suite 150, Windsor, ON N8T 3R9</v>
      </c>
      <c r="D31" s="4">
        <f>IFERROR(__xludf.DUMMYFUNCTION("""COMPUTED_VALUE"""),42.3036)</f>
        <v>42.3036</v>
      </c>
      <c r="E31" s="4">
        <f>IFERROR(__xludf.DUMMYFUNCTION("""COMPUTED_VALUE"""),-82.9317)</f>
        <v>-82.9317</v>
      </c>
      <c r="F31" s="4" t="str">
        <f>IFERROR(__xludf.DUMMYFUNCTION("""COMPUTED_VALUE"""),"ON")</f>
        <v>ON</v>
      </c>
      <c r="G31" s="4" t="str">
        <f>IFERROR(__xludf.DUMMYFUNCTION("""COMPUTED_VALUE"""),"Ecosystem &amp; Business Networks")</f>
        <v>Ecosystem &amp; Business Networks</v>
      </c>
      <c r="H31" s="4" t="str">
        <f>IFERROR(__xludf.DUMMYFUNCTION("""COMPUTED_VALUE"""),"Workforce development, newsletters")</f>
        <v>Workforce development, newsletters</v>
      </c>
      <c r="I31" s="44" t="str">
        <f>IFERROR(__xludf.DUMMYFUNCTION("""COMPUTED_VALUE"""),"https://workforcewindsoressex.com/")</f>
        <v>https://workforcewindsoressex.com/</v>
      </c>
      <c r="J31" s="4" t="str">
        <f>IFERROR(__xludf.DUMMYFUNCTION("""COMPUTED_VALUE"""),"jfalconer@workforcewindsoressex.com")</f>
        <v>jfalconer@workforcewindsoressex.com</v>
      </c>
      <c r="K31" s="4" t="str">
        <f>IFERROR(__xludf.DUMMYFUNCTION("""COMPUTED_VALUE"""),"226-674-3220")</f>
        <v>226-674-3220</v>
      </c>
      <c r="L31" s="4" t="str">
        <f>IFERROR(__xludf.DUMMYFUNCTION("""COMPUTED_VALUE"""),"Justin Falconer, CEO")</f>
        <v>Justin Falconer, CEO</v>
      </c>
      <c r="M31" s="4" t="str">
        <f>IFERROR(__xludf.DUMMYFUNCTION("""COMPUTED_VALUE"""),"The WE Jobs Portal has tools to help you achieve your career goals.")</f>
        <v>The WE Jobs Portal has tools to help you achieve your career goals.</v>
      </c>
    </row>
    <row r="32" ht="15.75" customHeight="1">
      <c r="A32" s="4" t="str">
        <f>IFERROR(__xludf.DUMMYFUNCTION("""COMPUTED_VALUE"""),"Automate Canada")</f>
        <v>Automate Canada</v>
      </c>
      <c r="B32" s="4" t="str">
        <f>IFERROR(__xludf.DUMMYFUNCTION("""COMPUTED_VALUE"""),"Windsor, ON")</f>
        <v>Windsor, ON</v>
      </c>
      <c r="C32" s="4" t="str">
        <f>IFERROR(__xludf.DUMMYFUNCTION("""COMPUTED_VALUE"""),"3475 Wheelton Dr., Windsor, Ontario N8W 0A6")</f>
        <v>3475 Wheelton Dr., Windsor, Ontario N8W 0A6</v>
      </c>
      <c r="D32" s="4">
        <f>IFERROR(__xludf.DUMMYFUNCTION("""COMPUTED_VALUE"""),42.2938)</f>
        <v>42.2938</v>
      </c>
      <c r="E32" s="4">
        <f>IFERROR(__xludf.DUMMYFUNCTION("""COMPUTED_VALUE"""),-82.9502)</f>
        <v>-82.9502</v>
      </c>
      <c r="F32" s="4" t="str">
        <f>IFERROR(__xludf.DUMMYFUNCTION("""COMPUTED_VALUE"""),"ON")</f>
        <v>ON</v>
      </c>
      <c r="G32" s="4" t="str">
        <f>IFERROR(__xludf.DUMMYFUNCTION("""COMPUTED_VALUE"""),"Ecosystem &amp; Business Networks")</f>
        <v>Ecosystem &amp; Business Networks</v>
      </c>
      <c r="H32" s="4" t="str">
        <f>IFERROR(__xludf.DUMMYFUNCTION("""COMPUTED_VALUE"""),"Networking opportunities, professional development, advocacy, resources, discounts")</f>
        <v>Networking opportunities, professional development, advocacy, resources, discounts</v>
      </c>
      <c r="I32" s="44" t="str">
        <f>IFERROR(__xludf.DUMMYFUNCTION("""COMPUTED_VALUE"""),"https://www.automatecanada.com/")</f>
        <v>https://www.automatecanada.com/</v>
      </c>
      <c r="J32" s="4" t="str">
        <f>IFERROR(__xludf.DUMMYFUNCTION("""COMPUTED_VALUE"""),"info@automatecanada.ca")</f>
        <v>info@automatecanada.ca</v>
      </c>
      <c r="K32" s="4" t="str">
        <f>IFERROR(__xludf.DUMMYFUNCTION("""COMPUTED_VALUE"""),"519-817-6260")</f>
        <v>519-817-6260</v>
      </c>
      <c r="L32" s="4"/>
      <c r="M32" s="4" t="str">
        <f>IFERROR(__xludf.DUMMYFUNCTION("""COMPUTED_VALUE"""),"Promote and develop the global exposure of the Canadian industrial automation industry.")</f>
        <v>Promote and develop the global exposure of the Canadian industrial automation industry.</v>
      </c>
    </row>
    <row r="33" ht="15.75" customHeight="1">
      <c r="A33" s="4" t="str">
        <f>IFERROR(__xludf.DUMMYFUNCTION("""COMPUTED_VALUE"""),"Canadian Association of Moldmakers (CAMM)")</f>
        <v>Canadian Association of Moldmakers (CAMM)</v>
      </c>
      <c r="B33" s="4" t="str">
        <f>IFERROR(__xludf.DUMMYFUNCTION("""COMPUTED_VALUE"""),"Windsor, ON")</f>
        <v>Windsor, ON</v>
      </c>
      <c r="C33" s="4" t="str">
        <f>IFERROR(__xludf.DUMMYFUNCTION("""COMPUTED_VALUE"""),"3475 Wheelton Dr., Windsor, Ontario N8W 0A6")</f>
        <v>3475 Wheelton Dr., Windsor, Ontario N8W 0A6</v>
      </c>
      <c r="D33" s="4">
        <f>IFERROR(__xludf.DUMMYFUNCTION("""COMPUTED_VALUE"""),42.2938)</f>
        <v>42.2938</v>
      </c>
      <c r="E33" s="4">
        <f>IFERROR(__xludf.DUMMYFUNCTION("""COMPUTED_VALUE"""),-82.9502)</f>
        <v>-82.9502</v>
      </c>
      <c r="F33" s="4" t="str">
        <f>IFERROR(__xludf.DUMMYFUNCTION("""COMPUTED_VALUE"""),"ON")</f>
        <v>ON</v>
      </c>
      <c r="G33" s="4" t="str">
        <f>IFERROR(__xludf.DUMMYFUNCTION("""COMPUTED_VALUE"""),"Ecosystem &amp; Business Networks")</f>
        <v>Ecosystem &amp; Business Networks</v>
      </c>
      <c r="H33" s="4" t="str">
        <f>IFERROR(__xludf.DUMMYFUNCTION("""COMPUTED_VALUE"""),"Moldmaking, manufacturing")</f>
        <v>Moldmaking, manufacturing</v>
      </c>
      <c r="I33" s="44" t="str">
        <f>IFERROR(__xludf.DUMMYFUNCTION("""COMPUTED_VALUE"""),"https://www.camm.ca/")</f>
        <v>https://www.camm.ca/</v>
      </c>
      <c r="J33" s="4" t="str">
        <f>IFERROR(__xludf.DUMMYFUNCTION("""COMPUTED_VALUE"""),"-")</f>
        <v>-</v>
      </c>
      <c r="K33" s="4" t="str">
        <f>IFERROR(__xludf.DUMMYFUNCTION("""COMPUTED_VALUE"""),"519-818-8866")</f>
        <v>519-818-8866</v>
      </c>
      <c r="L33" s="4" t="str">
        <f>IFERROR(__xludf.DUMMYFUNCTION("""COMPUTED_VALUE"""),"Nicole Vlanich, Executive Director")</f>
        <v>Nicole Vlanich, Executive Director</v>
      </c>
      <c r="M33" s="4" t="str">
        <f>IFERROR(__xludf.DUMMYFUNCTION("""COMPUTED_VALUE"""),"Promote, preserve, and protect the interests of Canadian mold makers.")</f>
        <v>Promote, preserve, and protect the interests of Canadian mold makers.</v>
      </c>
    </row>
    <row r="34" ht="15.75" customHeight="1">
      <c r="A34" s="4" t="str">
        <f>IFERROR(__xludf.DUMMYFUNCTION("""COMPUTED_VALUE"""),"Advanced Manufacturing Supercluster (NGen)")</f>
        <v>Advanced Manufacturing Supercluster (NGen)</v>
      </c>
      <c r="B34" s="4" t="str">
        <f>IFERROR(__xludf.DUMMYFUNCTION("""COMPUTED_VALUE"""),"Hamilton, ON")</f>
        <v>Hamilton, ON</v>
      </c>
      <c r="C34" s="4" t="str">
        <f>IFERROR(__xludf.DUMMYFUNCTION("""COMPUTED_VALUE"""),"175 Longwood Rd S, Hamilton, ON L8P 0A1")</f>
        <v>175 Longwood Rd S, Hamilton, ON L8P 0A1</v>
      </c>
      <c r="D34" s="4">
        <f>IFERROR(__xludf.DUMMYFUNCTION("""COMPUTED_VALUE"""),43.2568404807147)</f>
        <v>43.25684048</v>
      </c>
      <c r="E34" s="4">
        <f>IFERROR(__xludf.DUMMYFUNCTION("""COMPUTED_VALUE"""),-79.9006756320839)</f>
        <v>-79.90067563</v>
      </c>
      <c r="F34" s="4" t="str">
        <f>IFERROR(__xludf.DUMMYFUNCTION("""COMPUTED_VALUE"""),"ON")</f>
        <v>ON</v>
      </c>
      <c r="G34" s="4" t="str">
        <f>IFERROR(__xludf.DUMMYFUNCTION("""COMPUTED_VALUE"""),"Ecosystem &amp; Business Networks")</f>
        <v>Ecosystem &amp; Business Networks</v>
      </c>
      <c r="H34" s="4" t="str">
        <f>IFERROR(__xludf.DUMMYFUNCTION("""COMPUTED_VALUE"""),"Funding, education, mentorship, development initiatives")</f>
        <v>Funding, education, mentorship, development initiatives</v>
      </c>
      <c r="I34" s="44" t="str">
        <f>IFERROR(__xludf.DUMMYFUNCTION("""COMPUTED_VALUE"""),"https://www.ngen.ca")</f>
        <v>https://www.ngen.ca</v>
      </c>
      <c r="J34" s="4" t="str">
        <f>IFERROR(__xludf.DUMMYFUNCTION("""COMPUTED_VALUE"""),"info@ngen.ca")</f>
        <v>info@ngen.ca</v>
      </c>
      <c r="K34" s="4" t="str">
        <f>IFERROR(__xludf.DUMMYFUNCTION("""COMPUTED_VALUE"""),"-")</f>
        <v>-</v>
      </c>
      <c r="L34" s="4"/>
      <c r="M34" s="4" t="str">
        <f>IFERROR(__xludf.DUMMYFUNCTION("""COMPUTED_VALUE"""),"Industry-led, non-profit organization leading Canada's Global Innovation Cluster for Advanced Mnufacturing.")</f>
        <v>Industry-led, non-profit organization leading Canada's Global Innovation Cluster for Advanced Mnufacturing.</v>
      </c>
    </row>
    <row r="35" ht="15.75" customHeight="1">
      <c r="A35" s="4" t="str">
        <f>IFERROR(__xludf.DUMMYFUNCTION("""COMPUTED_VALUE"""),"Google Developer Group - Windsor")</f>
        <v>Google Developer Group - Windsor</v>
      </c>
      <c r="B35" s="4" t="str">
        <f>IFERROR(__xludf.DUMMYFUNCTION("""COMPUTED_VALUE"""),"Windsor, ON")</f>
        <v>Windsor, ON</v>
      </c>
      <c r="C35" s="4" t="str">
        <f>IFERROR(__xludf.DUMMYFUNCTION("""COMPUTED_VALUE"""),"401 Sunset Ave, Windsor, ON N9B 3P4")</f>
        <v>401 Sunset Ave, Windsor, ON N9B 3P4</v>
      </c>
      <c r="D35" s="4">
        <f>IFERROR(__xludf.DUMMYFUNCTION("""COMPUTED_VALUE"""),42.3063)</f>
        <v>42.3063</v>
      </c>
      <c r="E35" s="4">
        <f>IFERROR(__xludf.DUMMYFUNCTION("""COMPUTED_VALUE"""),-83.0659)</f>
        <v>-83.0659</v>
      </c>
      <c r="F35" s="4" t="str">
        <f>IFERROR(__xludf.DUMMYFUNCTION("""COMPUTED_VALUE"""),"ON")</f>
        <v>ON</v>
      </c>
      <c r="G35" s="4" t="str">
        <f>IFERROR(__xludf.DUMMYFUNCTION("""COMPUTED_VALUE"""),"Ecosystem &amp; Business Networks")</f>
        <v>Ecosystem &amp; Business Networks</v>
      </c>
      <c r="H35" s="4" t="str">
        <f>IFERROR(__xludf.DUMMYFUNCTION("""COMPUTED_VALUE"""),"Workshops, tech talks, conferences.")</f>
        <v>Workshops, tech talks, conferences.</v>
      </c>
      <c r="I35" s="44" t="str">
        <f>IFERROR(__xludf.DUMMYFUNCTION("""COMPUTED_VALUE"""),"https://gdg.community.dev/gdg-windsor/")</f>
        <v>https://gdg.community.dev/gdg-windsor/</v>
      </c>
      <c r="J35" s="4" t="str">
        <f>IFERROR(__xludf.DUMMYFUNCTION("""COMPUTED_VALUE"""),"viviantangers@gmail.com")</f>
        <v>viviantangers@gmail.com</v>
      </c>
      <c r="K35" s="4" t="str">
        <f>IFERROR(__xludf.DUMMYFUNCTION("""COMPUTED_VALUE"""),"-")</f>
        <v>-</v>
      </c>
      <c r="L35" s="4" t="str">
        <f>IFERROR(__xludf.DUMMYFUNCTION("""COMPUTED_VALUE"""),"Vivian Tang, Google Community Organizer")</f>
        <v>Vivian Tang, Google Community Organizer</v>
      </c>
      <c r="M35" s="4" t="str">
        <f>IFERROR(__xludf.DUMMYFUNCTION("""COMPUTED_VALUE"""),"Local community hub of professional developers who share expertise and passion for Google's developer technology.")</f>
        <v>Local community hub of professional developers who share expertise and passion for Google's developer technology.</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s>
  <printOptions/>
  <pageMargins bottom="0.75" footer="0.0" header="0.0" left="0.7" right="0.7" top="0.75"/>
  <pageSetup orientation="landscape"/>
  <drawing r:id="rId3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4" t="str">
        <f>IFERROR(__xludf.DUMMYFUNCTION("VSTACK('Asset Map - v2'!A1:M1, FILTER('Asset Map - v2'!A:M, 'Asset Map - v2'!G:G=""Educational Institution / Research and Commercialization""))"),"Organization Name")</f>
        <v>Organization Name</v>
      </c>
      <c r="B1" s="4" t="str">
        <f>IFERROR(__xludf.DUMMYFUNCTION("""COMPUTED_VALUE"""),"City")</f>
        <v>City</v>
      </c>
      <c r="C1" s="4" t="str">
        <f>IFERROR(__xludf.DUMMYFUNCTION("""COMPUTED_VALUE"""),"Address")</f>
        <v>Address</v>
      </c>
      <c r="D1" s="4" t="str">
        <f>IFERROR(__xludf.DUMMYFUNCTION("""COMPUTED_VALUE"""),"Latitude")</f>
        <v>Latitude</v>
      </c>
      <c r="E1" s="4" t="str">
        <f>IFERROR(__xludf.DUMMYFUNCTION("""COMPUTED_VALUE"""),"Longitude")</f>
        <v>Longitude</v>
      </c>
      <c r="F1" s="4" t="str">
        <f>IFERROR(__xludf.DUMMYFUNCTION("""COMPUTED_VALUE"""),"Province/State")</f>
        <v>Province/State</v>
      </c>
      <c r="G1" s="4" t="str">
        <f>IFERROR(__xludf.DUMMYFUNCTION("""COMPUTED_VALUE"""),"Sector/Type")</f>
        <v>Sector/Type</v>
      </c>
      <c r="H1" s="4" t="str">
        <f>IFERROR(__xludf.DUMMYFUNCTION("""COMPUTED_VALUE"""),"Services Offered")</f>
        <v>Services Offered</v>
      </c>
      <c r="I1" s="4" t="str">
        <f>IFERROR(__xludf.DUMMYFUNCTION("""COMPUTED_VALUE"""),"Website")</f>
        <v>Website</v>
      </c>
      <c r="J1" s="4" t="str">
        <f>IFERROR(__xludf.DUMMYFUNCTION("""COMPUTED_VALUE"""),"Email Address")</f>
        <v>Email Address</v>
      </c>
      <c r="K1" s="4" t="str">
        <f>IFERROR(__xludf.DUMMYFUNCTION("""COMPUTED_VALUE"""),"Phone Number")</f>
        <v>Phone Number</v>
      </c>
      <c r="L1" s="4" t="str">
        <f>IFERROR(__xludf.DUMMYFUNCTION("""COMPUTED_VALUE"""),"Contact Name")</f>
        <v>Contact Name</v>
      </c>
      <c r="M1" s="4" t="str">
        <f>IFERROR(__xludf.DUMMYFUNCTION("""COMPUTED_VALUE"""),"Notes")</f>
        <v>Notes</v>
      </c>
    </row>
    <row r="2">
      <c r="A2" s="4" t="str">
        <f>IFERROR(__xludf.DUMMYFUNCTION("""COMPUTED_VALUE"""),"University of Michigan's Innovation Partnerships")</f>
        <v>University of Michigan's Innovation Partnerships</v>
      </c>
      <c r="B2" s="4" t="str">
        <f>IFERROR(__xludf.DUMMYFUNCTION("""COMPUTED_VALUE"""),"Ann Arbor, MI")</f>
        <v>Ann Arbor, MI</v>
      </c>
      <c r="C2" s="4" t="str">
        <f>IFERROR(__xludf.DUMMYFUNCTION("""COMPUTED_VALUE"""),"1600 Huron Pkwy, Building 520, 2nd Floor, Ann Arbor, MI 48109-2590")</f>
        <v>1600 Huron Pkwy, Building 520, 2nd Floor, Ann Arbor, MI 48109-2590</v>
      </c>
      <c r="D2" s="4">
        <f>IFERROR(__xludf.DUMMYFUNCTION("""COMPUTED_VALUE"""),42.3009)</f>
        <v>42.3009</v>
      </c>
      <c r="E2" s="4">
        <f>IFERROR(__xludf.DUMMYFUNCTION("""COMPUTED_VALUE"""),-83.7033)</f>
        <v>-83.7033</v>
      </c>
      <c r="F2" s="4" t="str">
        <f>IFERROR(__xludf.DUMMYFUNCTION("""COMPUTED_VALUE"""),"MI")</f>
        <v>MI</v>
      </c>
      <c r="G2" s="4" t="str">
        <f>IFERROR(__xludf.DUMMYFUNCTION("""COMPUTED_VALUE"""),"Educational Institution / Research and Commercialization")</f>
        <v>Educational Institution / Research and Commercialization</v>
      </c>
      <c r="H2" s="4" t="str">
        <f>IFERROR(__xludf.DUMMYFUNCTION("""COMPUTED_VALUE"""),"Innovation, Research commercialization, startups, Commercialization, Licensing")</f>
        <v>Innovation, Research commercialization, startups, Commercialization, Licensing</v>
      </c>
      <c r="I2" s="44" t="str">
        <f>IFERROR(__xludf.DUMMYFUNCTION("""COMPUTED_VALUE"""),"https://innovationpartnerships.umich.edu/")</f>
        <v>https://innovationpartnerships.umich.edu/</v>
      </c>
      <c r="J2" s="4" t="str">
        <f>IFERROR(__xludf.DUMMYFUNCTION("""COMPUTED_VALUE"""),"kbsexton@umich.edu")</f>
        <v>kbsexton@umich.edu</v>
      </c>
      <c r="K2" s="4" t="str">
        <f>IFERROR(__xludf.DUMMYFUNCTION("""COMPUTED_VALUE"""),"734.763.0614")</f>
        <v>734.763.0614</v>
      </c>
      <c r="L2" s="4" t="str">
        <f>IFERROR(__xludf.DUMMYFUNCTION("""COMPUTED_VALUE"""),"Kelly Sexton")</f>
        <v>Kelly Sexton</v>
      </c>
      <c r="M2" s="4" t="str">
        <f>IFERROR(__xludf.DUMMYFUNCTION("""COMPUTED_VALUE"""),"Exists to serve great minds nad maximize the potential of their ideas, their discoveries, and their inventions.")</f>
        <v>Exists to serve great minds nad maximize the potential of their ideas, their discoveries, and their inventions.</v>
      </c>
    </row>
    <row r="3">
      <c r="A3" s="4" t="str">
        <f>IFERROR(__xludf.DUMMYFUNCTION("""COMPUTED_VALUE"""),"University of Michigan's Life Sciences Institute")</f>
        <v>University of Michigan's Life Sciences Institute</v>
      </c>
      <c r="B3" s="4" t="str">
        <f>IFERROR(__xludf.DUMMYFUNCTION("""COMPUTED_VALUE"""),"Ann Arbor, MI")</f>
        <v>Ann Arbor, MI</v>
      </c>
      <c r="C3" s="4" t="str">
        <f>IFERROR(__xludf.DUMMYFUNCTION("""COMPUTED_VALUE"""),"210 Washtenaw Ave, Ann Arbor, MI 48109, United States")</f>
        <v>210 Washtenaw Ave, Ann Arbor, MI 48109, United States</v>
      </c>
      <c r="D3" s="4">
        <f>IFERROR(__xludf.DUMMYFUNCTION("""COMPUTED_VALUE"""),42.27921)</f>
        <v>42.27921</v>
      </c>
      <c r="E3" s="4">
        <f>IFERROR(__xludf.DUMMYFUNCTION("""COMPUTED_VALUE"""),-83.73359)</f>
        <v>-83.73359</v>
      </c>
      <c r="F3" s="4" t="str">
        <f>IFERROR(__xludf.DUMMYFUNCTION("""COMPUTED_VALUE"""),"MI")</f>
        <v>MI</v>
      </c>
      <c r="G3" s="4" t="str">
        <f>IFERROR(__xludf.DUMMYFUNCTION("""COMPUTED_VALUE"""),"Educational Institution / Research and Commercialization")</f>
        <v>Educational Institution / Research and Commercialization</v>
      </c>
      <c r="H3" s="4" t="str">
        <f>IFERROR(__xludf.DUMMYFUNCTION("""COMPUTED_VALUE"""),"Life sciences, Biotechnology, Health tech")</f>
        <v>Life sciences, Biotechnology, Health tech</v>
      </c>
      <c r="I3" s="44" t="str">
        <f>IFERROR(__xludf.DUMMYFUNCTION("""COMPUTED_VALUE"""),"https://www.lsi.umich.edu/")</f>
        <v>https://www.lsi.umich.edu/</v>
      </c>
      <c r="J3" s="4" t="str">
        <f>IFERROR(__xludf.DUMMYFUNCTION("""COMPUTED_VALUE"""),"andyalt@umich.edu")</f>
        <v>andyalt@umich.edu</v>
      </c>
      <c r="K3" s="4" t="str">
        <f>IFERROR(__xludf.DUMMYFUNCTION("""COMPUTED_VALUE"""),"734 763-2340")</f>
        <v>734 763-2340</v>
      </c>
      <c r="L3" s="4" t="str">
        <f>IFERROR(__xludf.DUMMYFUNCTION("""COMPUTED_VALUE"""),"Andrew Alt, Ph.D.")</f>
        <v>Andrew Alt, Ph.D.</v>
      </c>
      <c r="M3" s="4" t="str">
        <f>IFERROR(__xludf.DUMMYFUNCTION("""COMPUTED_VALUE"""),"Undergrads, graduate students, and postdocs Explores biological processes, structures, and functions at the finest scale to create impact on a global scale.")</f>
        <v>Undergrads, graduate students, and postdocs Explores biological processes, structures, and functions at the finest scale to create impact on a global scale.</v>
      </c>
    </row>
    <row r="4">
      <c r="A4" s="4" t="str">
        <f>IFERROR(__xludf.DUMMYFUNCTION("""COMPUTED_VALUE"""),"University of Michigan's M-City")</f>
        <v>University of Michigan's M-City</v>
      </c>
      <c r="B4" s="4" t="str">
        <f>IFERROR(__xludf.DUMMYFUNCTION("""COMPUTED_VALUE"""),"Ann Arbor, MI")</f>
        <v>Ann Arbor, MI</v>
      </c>
      <c r="C4" s="4" t="str">
        <f>IFERROR(__xludf.DUMMYFUNCTION("""COMPUTED_VALUE"""),"2905 Baxter Road, Ann Arbor, MI 48109-2150")</f>
        <v>2905 Baxter Road, Ann Arbor, MI 48109-2150</v>
      </c>
      <c r="D4" s="4">
        <f>IFERROR(__xludf.DUMMYFUNCTION("""COMPUTED_VALUE"""),42.302)</f>
        <v>42.302</v>
      </c>
      <c r="E4" s="4">
        <f>IFERROR(__xludf.DUMMYFUNCTION("""COMPUTED_VALUE"""),-83.705)</f>
        <v>-83.705</v>
      </c>
      <c r="F4" s="4" t="str">
        <f>IFERROR(__xludf.DUMMYFUNCTION("""COMPUTED_VALUE"""),"MI")</f>
        <v>MI</v>
      </c>
      <c r="G4" s="4" t="str">
        <f>IFERROR(__xludf.DUMMYFUNCTION("""COMPUTED_VALUE"""),"Educational Institution / Research and Commercialization")</f>
        <v>Educational Institution / Research and Commercialization</v>
      </c>
      <c r="H4" s="4" t="str">
        <f>IFERROR(__xludf.DUMMYFUNCTION("""COMPUTED_VALUE"""),"Mobility, Autonomous vehicles, Smart cities. Industry, government, academica")</f>
        <v>Mobility, Autonomous vehicles, Smart cities. Industry, government, academica</v>
      </c>
      <c r="I4" s="44" t="str">
        <f>IFERROR(__xludf.DUMMYFUNCTION("""COMPUTED_VALUE"""),"https://mcity.umich.edu/")</f>
        <v>https://mcity.umich.edu/</v>
      </c>
      <c r="J4" s="4"/>
      <c r="K4" s="4" t="str">
        <f>IFERROR(__xludf.DUMMYFUNCTION("""COMPUTED_VALUE"""),"(734) 764-2886")</f>
        <v>(734) 764-2886</v>
      </c>
      <c r="L4" s="4"/>
      <c r="M4" s="4" t="str">
        <f>IFERROR(__xludf.DUMMYFUNCTION("""COMPUTED_VALUE"""),"Hub for research, development, and deployment of mobility innovations.")</f>
        <v>Hub for research, development, and deployment of mobility innovations.</v>
      </c>
    </row>
    <row r="5">
      <c r="A5" s="4" t="str">
        <f>IFERROR(__xludf.DUMMYFUNCTION("""COMPUTED_VALUE"""),"Therapeutic Systems Research Laboratories (TSRL), Inc.")</f>
        <v>Therapeutic Systems Research Laboratories (TSRL), Inc.</v>
      </c>
      <c r="B5" s="4" t="str">
        <f>IFERROR(__xludf.DUMMYFUNCTION("""COMPUTED_VALUE"""),"Ann Arbor, MI")</f>
        <v>Ann Arbor, MI</v>
      </c>
      <c r="C5" s="4" t="str">
        <f>IFERROR(__xludf.DUMMYFUNCTION("""COMPUTED_VALUE"""),"540 Avis Dr, Ann Arbor, MI 48108, United States")</f>
        <v>540 Avis Dr, Ann Arbor, MI 48108, United States</v>
      </c>
      <c r="D5" s="4">
        <f>IFERROR(__xludf.DUMMYFUNCTION("""COMPUTED_VALUE"""),42.2226)</f>
        <v>42.2226</v>
      </c>
      <c r="E5" s="4">
        <f>IFERROR(__xludf.DUMMYFUNCTION("""COMPUTED_VALUE"""),-83.7263)</f>
        <v>-83.7263</v>
      </c>
      <c r="F5" s="4" t="str">
        <f>IFERROR(__xludf.DUMMYFUNCTION("""COMPUTED_VALUE"""),"MI")</f>
        <v>MI</v>
      </c>
      <c r="G5" s="4" t="str">
        <f>IFERROR(__xludf.DUMMYFUNCTION("""COMPUTED_VALUE"""),"Educational Institution / Research and Commercialization")</f>
        <v>Educational Institution / Research and Commercialization</v>
      </c>
      <c r="H5" s="4" t="str">
        <f>IFERROR(__xludf.DUMMYFUNCTION("""COMPUTED_VALUE"""),"Medical innovation, biotech")</f>
        <v>Medical innovation, biotech</v>
      </c>
      <c r="I5" s="44" t="str">
        <f>IFERROR(__xludf.DUMMYFUNCTION("""COMPUTED_VALUE"""),"https://www.tsrlinc.com/")</f>
        <v>https://www.tsrlinc.com/</v>
      </c>
      <c r="J5" s="4" t="str">
        <f>IFERROR(__xludf.DUMMYFUNCTION("""COMPUTED_VALUE"""),"bd@tsrlinc.com")</f>
        <v>bd@tsrlinc.com</v>
      </c>
      <c r="K5" s="4">
        <f>IFERROR(__xludf.DUMMYFUNCTION("""COMPUTED_VALUE"""),7.346634423E9)</f>
        <v>7346634423</v>
      </c>
      <c r="L5" s="4"/>
      <c r="M5" s="4" t="str">
        <f>IFERROR(__xludf.DUMMYFUNCTION("""COMPUTED_VALUE"""),"Private, preclinical accelerator.")</f>
        <v>Private, preclinical accelerator.</v>
      </c>
    </row>
    <row r="6">
      <c r="A6" s="4" t="str">
        <f>IFERROR(__xludf.DUMMYFUNCTION("""COMPUTED_VALUE"""),"University of Michigan Center for Innovation")</f>
        <v>University of Michigan Center for Innovation</v>
      </c>
      <c r="B6" s="4" t="str">
        <f>IFERROR(__xludf.DUMMYFUNCTION("""COMPUTED_VALUE"""),"Detroit, MI")</f>
        <v>Detroit, MI</v>
      </c>
      <c r="C6" s="4" t="str">
        <f>IFERROR(__xludf.DUMMYFUNCTION("""COMPUTED_VALUE"""),"2121 Cass Ave, Detroit, MI 48201, United States")</f>
        <v>2121 Cass Ave, Detroit, MI 48201, United States</v>
      </c>
      <c r="D6" s="4">
        <f>IFERROR(__xludf.DUMMYFUNCTION("""COMPUTED_VALUE"""),42.3357)</f>
        <v>42.3357</v>
      </c>
      <c r="E6" s="4">
        <f>IFERROR(__xludf.DUMMYFUNCTION("""COMPUTED_VALUE"""),-83.0526)</f>
        <v>-83.0526</v>
      </c>
      <c r="F6" s="4" t="str">
        <f>IFERROR(__xludf.DUMMYFUNCTION("""COMPUTED_VALUE"""),"MI")</f>
        <v>MI</v>
      </c>
      <c r="G6" s="4" t="str">
        <f>IFERROR(__xludf.DUMMYFUNCTION("""COMPUTED_VALUE"""),"Educational Institution / Research and Commercialization")</f>
        <v>Educational Institution / Research and Commercialization</v>
      </c>
      <c r="H6" s="4" t="str">
        <f>IFERROR(__xludf.DUMMYFUNCTION("""COMPUTED_VALUE"""),"Innovation, Research commercialization, Tech startups")</f>
        <v>Innovation, Research commercialization, Tech startups</v>
      </c>
      <c r="I6" s="44" t="str">
        <f>IFERROR(__xludf.DUMMYFUNCTION("""COMPUTED_VALUE"""),"https://detroit.umich.edu/umci/")</f>
        <v>https://detroit.umich.edu/umci/</v>
      </c>
      <c r="J6" s="4"/>
      <c r="K6" s="4"/>
      <c r="L6" s="4"/>
      <c r="M6" s="4" t="str">
        <f>IFERROR(__xludf.DUMMYFUNCTION("""COMPUTED_VALUE"""),"Expected to open in Spring 2027")</f>
        <v>Expected to open in Spring 2027</v>
      </c>
    </row>
    <row r="7">
      <c r="A7" s="4" t="str">
        <f>IFERROR(__xludf.DUMMYFUNCTION("""COMPUTED_VALUE"""),"Wayne State University Division of Research &amp; Innovation")</f>
        <v>Wayne State University Division of Research &amp; Innovation</v>
      </c>
      <c r="B7" s="4" t="str">
        <f>IFERROR(__xludf.DUMMYFUNCTION("""COMPUTED_VALUE"""),"Detroit, MI")</f>
        <v>Detroit, MI</v>
      </c>
      <c r="C7" s="4" t="str">
        <f>IFERROR(__xludf.DUMMYFUNCTION("""COMPUTED_VALUE"""),"5057 Woodward Ave, Suite 6409, Detroit, MI 48202")</f>
        <v>5057 Woodward Ave, Suite 6409, Detroit, MI 48202</v>
      </c>
      <c r="D7" s="4">
        <f>IFERROR(__xludf.DUMMYFUNCTION("""COMPUTED_VALUE"""),42.3579)</f>
        <v>42.3579</v>
      </c>
      <c r="E7" s="4">
        <f>IFERROR(__xludf.DUMMYFUNCTION("""COMPUTED_VALUE"""),-83.0649)</f>
        <v>-83.0649</v>
      </c>
      <c r="F7" s="4" t="str">
        <f>IFERROR(__xludf.DUMMYFUNCTION("""COMPUTED_VALUE"""),"MI")</f>
        <v>MI</v>
      </c>
      <c r="G7" s="4" t="str">
        <f>IFERROR(__xludf.DUMMYFUNCTION("""COMPUTED_VALUE"""),"Educational Institution / Research and Commercialization")</f>
        <v>Educational Institution / Research and Commercialization</v>
      </c>
      <c r="H7" s="4" t="str">
        <f>IFERROR(__xludf.DUMMYFUNCTION("""COMPUTED_VALUE"""),"Higher education, Research, Innovation")</f>
        <v>Higher education, Research, Innovation</v>
      </c>
      <c r="I7" s="44" t="str">
        <f>IFERROR(__xludf.DUMMYFUNCTION("""COMPUTED_VALUE"""),"https://research.wayne.edu/key-research")</f>
        <v>https://research.wayne.edu/key-research</v>
      </c>
      <c r="J7" s="4" t="str">
        <f>IFERROR(__xludf.DUMMYFUNCTION("""COMPUTED_VALUE"""),"julie.oconnor@wayne.edu")</f>
        <v>julie.oconnor@wayne.edu</v>
      </c>
      <c r="K7" s="4" t="str">
        <f>IFERROR(__xludf.DUMMYFUNCTION("""COMPUTED_VALUE"""),"313-577-8845")</f>
        <v>313-577-8845</v>
      </c>
      <c r="L7" s="4" t="str">
        <f>IFERROR(__xludf.DUMMYFUNCTION("""COMPUTED_VALUE"""),"O'Connor, Julie, Director, Research Communications")</f>
        <v>O'Connor, Julie, Director, Research Communications</v>
      </c>
      <c r="M7" s="4" t="str">
        <f>IFERROR(__xludf.DUMMYFUNCTION("""COMPUTED_VALUE"""),"Various areas of research, including: big data, fundamental sciences, translational neurosciences.")</f>
        <v>Various areas of research, including: big data, fundamental sciences, translational neurosciences.</v>
      </c>
    </row>
    <row r="8">
      <c r="A8" s="4" t="str">
        <f>IFERROR(__xludf.DUMMYFUNCTION("""COMPUTED_VALUE"""),"Wayne State University Office for Technology Commercialization")</f>
        <v>Wayne State University Office for Technology Commercialization</v>
      </c>
      <c r="B8" s="4" t="str">
        <f>IFERROR(__xludf.DUMMYFUNCTION("""COMPUTED_VALUE"""),"Detroit, MI")</f>
        <v>Detroit, MI</v>
      </c>
      <c r="C8" s="4" t="str">
        <f>IFERROR(__xludf.DUMMYFUNCTION("""COMPUTED_VALUE"""),"5057 Woodward, Suite 6400, Detroit, MI 48202")</f>
        <v>5057 Woodward, Suite 6400, Detroit, MI 48202</v>
      </c>
      <c r="D8" s="4">
        <f>IFERROR(__xludf.DUMMYFUNCTION("""COMPUTED_VALUE"""),42.3579)</f>
        <v>42.3579</v>
      </c>
      <c r="E8" s="4">
        <f>IFERROR(__xludf.DUMMYFUNCTION("""COMPUTED_VALUE"""),-83.0649)</f>
        <v>-83.0649</v>
      </c>
      <c r="F8" s="4" t="str">
        <f>IFERROR(__xludf.DUMMYFUNCTION("""COMPUTED_VALUE"""),"MI")</f>
        <v>MI</v>
      </c>
      <c r="G8" s="4" t="str">
        <f>IFERROR(__xludf.DUMMYFUNCTION("""COMPUTED_VALUE"""),"Educational Institution / Research and Commercialization")</f>
        <v>Educational Institution / Research and Commercialization</v>
      </c>
      <c r="H8" s="4" t="str">
        <f>IFERROR(__xludf.DUMMYFUNCTION("""COMPUTED_VALUE"""),"Technology commercialization, Licensing, Venture development")</f>
        <v>Technology commercialization, Licensing, Venture development</v>
      </c>
      <c r="I8" s="44" t="str">
        <f>IFERROR(__xludf.DUMMYFUNCTION("""COMPUTED_VALUE"""),"https://techtransfer.wayne.edu/")</f>
        <v>https://techtransfer.wayne.edu/</v>
      </c>
      <c r="J8" s="4"/>
      <c r="K8" s="4" t="str">
        <f>IFERROR(__xludf.DUMMYFUNCTION("""COMPUTED_VALUE"""),"313-577-5903")</f>
        <v>313-577-5903</v>
      </c>
      <c r="L8" s="4" t="str">
        <f>IFERROR(__xludf.DUMMYFUNCTION("""COMPUTED_VALUE"""),"Bramdon Stawiasz, Project Manager, Innovation Programs")</f>
        <v>Bramdon Stawiasz, Project Manager, Innovation Programs</v>
      </c>
      <c r="M8" s="4" t="str">
        <f>IFERROR(__xludf.DUMMYFUNCTION("""COMPUTED_VALUE"""),"Responsible for the identification, protection, marketing, and licensing of intellectual property developed by WSU faculty, staff, and corporate research alliances.")</f>
        <v>Responsible for the identification, protection, marketing, and licensing of intellectual property developed by WSU faculty, staff, and corporate research alliances.</v>
      </c>
    </row>
    <row r="9">
      <c r="A9" s="4" t="str">
        <f>IFERROR(__xludf.DUMMYFUNCTION("""COMPUTED_VALUE"""),"Michigan Translational Research and Commercialization (MTRAC)")</f>
        <v>Michigan Translational Research and Commercialization (MTRAC)</v>
      </c>
      <c r="B9" s="4" t="str">
        <f>IFERROR(__xludf.DUMMYFUNCTION("""COMPUTED_VALUE"""),"Houghton, MI")</f>
        <v>Houghton, MI</v>
      </c>
      <c r="C9" s="4" t="str">
        <f>IFERROR(__xludf.DUMMYFUNCTION("""COMPUTED_VALUE"""),"1400 Townsend Dr, Houghton, MI 49931")</f>
        <v>1400 Townsend Dr, Houghton, MI 49931</v>
      </c>
      <c r="D9" s="4">
        <f>IFERROR(__xludf.DUMMYFUNCTION("""COMPUTED_VALUE"""),47.1216)</f>
        <v>47.1216</v>
      </c>
      <c r="E9" s="4">
        <f>IFERROR(__xludf.DUMMYFUNCTION("""COMPUTED_VALUE"""),-88.5694)</f>
        <v>-88.5694</v>
      </c>
      <c r="F9" s="4" t="str">
        <f>IFERROR(__xludf.DUMMYFUNCTION("""COMPUTED_VALUE"""),"MI")</f>
        <v>MI</v>
      </c>
      <c r="G9" s="4" t="str">
        <f>IFERROR(__xludf.DUMMYFUNCTION("""COMPUTED_VALUE"""),"Educational Institution / Research and Commercialization")</f>
        <v>Educational Institution / Research and Commercialization</v>
      </c>
      <c r="H9" s="4" t="str">
        <f>IFERROR(__xludf.DUMMYFUNCTION("""COMPUTED_VALUE"""),"Translational research, commercialization")</f>
        <v>Translational research, commercialization</v>
      </c>
      <c r="I9" s="44" t="str">
        <f>IFERROR(__xludf.DUMMYFUNCTION("""COMPUTED_VALUE"""),"https://www.mtu.edu/research/innovation/mtrac/")</f>
        <v>https://www.mtu.edu/research/innovation/mtrac/</v>
      </c>
      <c r="J9" s="4"/>
      <c r="K9" s="4"/>
      <c r="L9" s="4"/>
      <c r="M9" s="4" t="str">
        <f>IFERROR(__xludf.DUMMYFUNCTION("""COMPUTED_VALUE"""),"Supports collaborative translational research projects led by researchers and business advisors.")</f>
        <v>Supports collaborative translational research projects led by researchers and business advisors.</v>
      </c>
    </row>
    <row r="10">
      <c r="A10" s="4" t="str">
        <f>IFERROR(__xludf.DUMMYFUNCTION("""COMPUTED_VALUE"""),"Innovation Centre at the University of Guelph")</f>
        <v>Innovation Centre at the University of Guelph</v>
      </c>
      <c r="B10" s="4" t="str">
        <f>IFERROR(__xludf.DUMMYFUNCTION("""COMPUTED_VALUE"""),"Guelph, ON")</f>
        <v>Guelph, ON</v>
      </c>
      <c r="C10" s="4" t="str">
        <f>IFERROR(__xludf.DUMMYFUNCTION("""COMPUTED_VALUE"""),"50 Stone Rd E, Guelph, ON N1G 2W1")</f>
        <v>50 Stone Rd E, Guelph, ON N1G 2W1</v>
      </c>
      <c r="D10" s="4">
        <f>IFERROR(__xludf.DUMMYFUNCTION("""COMPUTED_VALUE"""),43.5329)</f>
        <v>43.5329</v>
      </c>
      <c r="E10" s="4">
        <f>IFERROR(__xludf.DUMMYFUNCTION("""COMPUTED_VALUE"""),-80.2262)</f>
        <v>-80.2262</v>
      </c>
      <c r="F10" s="4" t="str">
        <f>IFERROR(__xludf.DUMMYFUNCTION("""COMPUTED_VALUE"""),"ON")</f>
        <v>ON</v>
      </c>
      <c r="G10" s="4" t="str">
        <f>IFERROR(__xludf.DUMMYFUNCTION("""COMPUTED_VALUE"""),"Educational Institution / Research and Commercialization")</f>
        <v>Educational Institution / Research and Commercialization</v>
      </c>
      <c r="H10" s="4" t="str">
        <f>IFERROR(__xludf.DUMMYFUNCTION("""COMPUTED_VALUE"""),"Tech startups, Agri-tech, Sustainability, Innovation")</f>
        <v>Tech startups, Agri-tech, Sustainability, Innovation</v>
      </c>
      <c r="I10" s="44" t="str">
        <f>IFERROR(__xludf.DUMMYFUNCTION("""COMPUTED_VALUE"""),"https://www.uoguelph.ca/research/innovation/")</f>
        <v>https://www.uoguelph.ca/research/innovation/</v>
      </c>
      <c r="J10" s="4" t="str">
        <f>IFERROR(__xludf.DUMMYFUNCTION("""COMPUTED_VALUE"""),"researchinnovation@uoguelph.ca")</f>
        <v>researchinnovation@uoguelph.ca</v>
      </c>
      <c r="K10" s="4" t="str">
        <f>IFERROR(__xludf.DUMMYFUNCTION("""COMPUTED_VALUE"""),"519-824-4120 x. 58878")</f>
        <v>519-824-4120 x. 58878</v>
      </c>
      <c r="L10" s="4"/>
      <c r="M10" s="4" t="str">
        <f>IFERROR(__xludf.DUMMYFUNCTION("""COMPUTED_VALUE"""),"Supports researchers, entrepreneurs, and industry partners as they navigate the journey from idea to impact.")</f>
        <v>Supports researchers, entrepreneurs, and industry partners as they navigate the journey from idea to impact.</v>
      </c>
    </row>
    <row r="11">
      <c r="A11" s="4" t="str">
        <f>IFERROR(__xludf.DUMMYFUNCTION("""COMPUTED_VALUE"""),"Ontario Agri-Food Innovation Alliance")</f>
        <v>Ontario Agri-Food Innovation Alliance</v>
      </c>
      <c r="B11" s="4" t="str">
        <f>IFERROR(__xludf.DUMMYFUNCTION("""COMPUTED_VALUE"""),"Guelph, ON")</f>
        <v>Guelph, ON</v>
      </c>
      <c r="C11" s="4" t="str">
        <f>IFERROR(__xludf.DUMMYFUNCTION("""COMPUTED_VALUE"""),"50 Stone Road East, Guelph, Ontario N1G 2W1")</f>
        <v>50 Stone Road East, Guelph, Ontario N1G 2W1</v>
      </c>
      <c r="D11" s="4">
        <f>IFERROR(__xludf.DUMMYFUNCTION("""COMPUTED_VALUE"""),43.5329)</f>
        <v>43.5329</v>
      </c>
      <c r="E11" s="4">
        <f>IFERROR(__xludf.DUMMYFUNCTION("""COMPUTED_VALUE"""),-80.2262)</f>
        <v>-80.2262</v>
      </c>
      <c r="F11" s="4" t="str">
        <f>IFERROR(__xludf.DUMMYFUNCTION("""COMPUTED_VALUE"""),"ON")</f>
        <v>ON</v>
      </c>
      <c r="G11" s="4" t="str">
        <f>IFERROR(__xludf.DUMMYFUNCTION("""COMPUTED_VALUE"""),"Educational Institution / Research and Commercialization")</f>
        <v>Educational Institution / Research and Commercialization</v>
      </c>
      <c r="H11" s="4" t="str">
        <f>IFERROR(__xludf.DUMMYFUNCTION("""COMPUTED_VALUE"""),"Research funding, commercialization support, innovation collaboration, industry partnerships")</f>
        <v>Research funding, commercialization support, innovation collaboration, industry partnerships</v>
      </c>
      <c r="I11" s="44" t="str">
        <f>IFERROR(__xludf.DUMMYFUNCTION("""COMPUTED_VALUE"""),"https://www.uoguelph.ca/alliance/")</f>
        <v>https://www.uoguelph.ca/alliance/</v>
      </c>
      <c r="J11" s="4" t="str">
        <f>IFERROR(__xludf.DUMMYFUNCTION("""COMPUTED_VALUE"""),"rhallett@uoguelph.ca")</f>
        <v>rhallett@uoguelph.ca</v>
      </c>
      <c r="K11" s="4" t="str">
        <f>IFERROR(__xludf.DUMMYFUNCTION("""COMPUTED_VALUE"""),"519-824-4120 x. 54488")</f>
        <v>519-824-4120 x. 54488</v>
      </c>
      <c r="L11" s="4" t="str">
        <f>IFERROR(__xludf.DUMMYFUNCTION("""COMPUTED_VALUE"""),"Rebecca Hallett, Interim Associate Vice President")</f>
        <v>Rebecca Hallett, Interim Associate Vice President</v>
      </c>
      <c r="M11" s="4" t="str">
        <f>IFERROR(__xludf.DUMMYFUNCTION("""COMPUTED_VALUE"""),"Collaboration that brings together the University of Guelph, the Ontario Ministry of Agriculture, Food and Agribusiness, and Agricultural Research and Innovation Ontario to deliver Ontario solutions with global impact.")</f>
        <v>Collaboration that brings together the University of Guelph, the Ontario Ministry of Agriculture, Food and Agribusiness, and Agricultural Research and Innovation Ontario to deliver Ontario solutions with global impact.</v>
      </c>
    </row>
    <row r="12">
      <c r="A12" s="4" t="str">
        <f>IFERROR(__xludf.DUMMYFUNCTION("""COMPUTED_VALUE"""),"GreenCentre Canada")</f>
        <v>GreenCentre Canada</v>
      </c>
      <c r="B12" s="4" t="str">
        <f>IFERROR(__xludf.DUMMYFUNCTION("""COMPUTED_VALUE"""),"Kingston, ON")</f>
        <v>Kingston, ON</v>
      </c>
      <c r="C12" s="4" t="str">
        <f>IFERROR(__xludf.DUMMYFUNCTION("""COMPUTED_VALUE"""),"945 Princess St Suite 1101, Kingston, ON K7L 0E9")</f>
        <v>945 Princess St Suite 1101, Kingston, ON K7L 0E9</v>
      </c>
      <c r="D12" s="4">
        <f>IFERROR(__xludf.DUMMYFUNCTION("""COMPUTED_VALUE"""),44.2435)</f>
        <v>44.2435</v>
      </c>
      <c r="E12" s="4">
        <f>IFERROR(__xludf.DUMMYFUNCTION("""COMPUTED_VALUE"""),-76.5113)</f>
        <v>-76.5113</v>
      </c>
      <c r="F12" s="4" t="str">
        <f>IFERROR(__xludf.DUMMYFUNCTION("""COMPUTED_VALUE"""),"ON")</f>
        <v>ON</v>
      </c>
      <c r="G12" s="4" t="str">
        <f>IFERROR(__xludf.DUMMYFUNCTION("""COMPUTED_VALUE"""),"Educational Institution / Research and Commercialization")</f>
        <v>Educational Institution / Research and Commercialization</v>
      </c>
      <c r="H12" s="4" t="str">
        <f>IFERROR(__xludf.DUMMYFUNCTION("""COMPUTED_VALUE"""),"Commercializing green chemistry technologies, sustainable innovation partnerships.")</f>
        <v>Commercializing green chemistry technologies, sustainable innovation partnerships.</v>
      </c>
      <c r="I12" s="4" t="str">
        <f>IFERROR(__xludf.DUMMYFUNCTION("""COMPUTED_VALUE"""),"www.greencentrecanada.com ")</f>
        <v>www.greencentrecanada.com </v>
      </c>
      <c r="J12" s="4"/>
      <c r="K12" s="4"/>
      <c r="L12" s="4" t="str">
        <f>IFERROR(__xludf.DUMMYFUNCTION("""COMPUTED_VALUE"""),"Site is down.")</f>
        <v>Site is down.</v>
      </c>
      <c r="M12" s="4" t="str">
        <f>IFERROR(__xludf.DUMMYFUNCTION("""COMPUTED_VALUE"""),"Provides technical services to SMEs based in Ontario that are developing technologies related to the Circular Economy.")</f>
        <v>Provides technical services to SMEs based in Ontario that are developing technologies related to the Circular Economy.</v>
      </c>
    </row>
    <row r="13">
      <c r="A13" s="4" t="str">
        <f>IFERROR(__xludf.DUMMYFUNCTION("""COMPUTED_VALUE"""),"Conestoga College SMART Centre")</f>
        <v>Conestoga College SMART Centre</v>
      </c>
      <c r="B13" s="4" t="str">
        <f>IFERROR(__xludf.DUMMYFUNCTION("""COMPUTED_VALUE"""),"Cambridge, ON")</f>
        <v>Cambridge, ON</v>
      </c>
      <c r="C13" s="4" t="str">
        <f>IFERROR(__xludf.DUMMYFUNCTION("""COMPUTED_VALUE"""),"96 Grand Avenue South, Cambridge, ON N1S 2L9")</f>
        <v>96 Grand Avenue South, Cambridge, ON N1S 2L9</v>
      </c>
      <c r="D13" s="4">
        <f>IFERROR(__xludf.DUMMYFUNCTION("""COMPUTED_VALUE"""),43.3536493901498)</f>
        <v>43.35364939</v>
      </c>
      <c r="E13" s="4">
        <f>IFERROR(__xludf.DUMMYFUNCTION("""COMPUTED_VALUE"""),-80.3178068320788)</f>
        <v>-80.31780683</v>
      </c>
      <c r="F13" s="4" t="str">
        <f>IFERROR(__xludf.DUMMYFUNCTION("""COMPUTED_VALUE"""),"ON")</f>
        <v>ON</v>
      </c>
      <c r="G13" s="4" t="str">
        <f>IFERROR(__xludf.DUMMYFUNCTION("""COMPUTED_VALUE"""),"Educational Institution / Research and Commercialization")</f>
        <v>Educational Institution / Research and Commercialization</v>
      </c>
      <c r="H13" s="4" t="str">
        <f>IFERROR(__xludf.DUMMYFUNCTION("""COMPUTED_VALUE"""),"Applied research, manufacturing and tech training, entrepreneurship support, freelance Gig Lab")</f>
        <v>Applied research, manufacturing and tech training, entrepreneurship support, freelance Gig Lab</v>
      </c>
      <c r="I13" s="44" t="str">
        <f>IFERROR(__xludf.DUMMYFUNCTION("""COMPUTED_VALUE"""),"https://research.conestogac.on.ca/smart-centre")</f>
        <v>https://research.conestogac.on.ca/smart-centre</v>
      </c>
      <c r="J13" s="4" t="str">
        <f>IFERROR(__xludf.DUMMYFUNCTION("""COMPUTED_VALUE"""),"appliedresearch@conestogac.on.ca")</f>
        <v>appliedresearch@conestogac.on.ca</v>
      </c>
      <c r="K13" s="4" t="str">
        <f>IFERROR(__xludf.DUMMYFUNCTION("""COMPUTED_VALUE"""),"519-748-5220")</f>
        <v>519-748-5220</v>
      </c>
      <c r="L13" s="4"/>
      <c r="M13" s="4" t="str">
        <f>IFERROR(__xludf.DUMMYFUNCTION("""COMPUTED_VALUE"""),"Hub for innovation, helping small, medium, and large businesses overcome challenges in manufacturing, IT, automotive, health tech, food and beverage manufacturing, and zero-emissions industries.")</f>
        <v>Hub for innovation, helping small, medium, and large businesses overcome challenges in manufacturing, IT, automotive, health tech, food and beverage manufacturing, and zero-emissions industries.</v>
      </c>
    </row>
    <row r="14">
      <c r="A14" s="4" t="str">
        <f>IFERROR(__xludf.DUMMYFUNCTION("""COMPUTED_VALUE"""),"Centre for Horticultural Innovation")</f>
        <v>Centre for Horticultural Innovation</v>
      </c>
      <c r="B14" s="4" t="str">
        <f>IFERROR(__xludf.DUMMYFUNCTION("""COMPUTED_VALUE"""),"Leamington, ON")</f>
        <v>Leamington, ON</v>
      </c>
      <c r="C14" s="4" t="str">
        <f>IFERROR(__xludf.DUMMYFUNCTION("""COMPUTED_VALUE"""),"4 Seneca Road, Leamington, ON N8H 5H7")</f>
        <v>4 Seneca Road, Leamington, ON N8H 5H7</v>
      </c>
      <c r="D14" s="4">
        <f>IFERROR(__xludf.DUMMYFUNCTION("""COMPUTED_VALUE"""),42.0314)</f>
        <v>42.0314</v>
      </c>
      <c r="E14" s="4">
        <f>IFERROR(__xludf.DUMMYFUNCTION("""COMPUTED_VALUE"""),-82.5869)</f>
        <v>-82.5869</v>
      </c>
      <c r="F14" s="4" t="str">
        <f>IFERROR(__xludf.DUMMYFUNCTION("""COMPUTED_VALUE"""),"ON")</f>
        <v>ON</v>
      </c>
      <c r="G14" s="4" t="str">
        <f>IFERROR(__xludf.DUMMYFUNCTION("""COMPUTED_VALUE"""),"Educational Institution / Research and Commercialization")</f>
        <v>Educational Institution / Research and Commercialization</v>
      </c>
      <c r="H14" s="4" t="str">
        <f>IFERROR(__xludf.DUMMYFUNCTION("""COMPUTED_VALUE"""),"Research funding, commercialization support, innovation collaboration, industry partnerships")</f>
        <v>Research funding, commercialization support, innovation collaboration, industry partnerships</v>
      </c>
      <c r="I14" s="44" t="str">
        <f>IFERROR(__xludf.DUMMYFUNCTION("""COMPUTED_VALUE"""),"https://southsx.com/")</f>
        <v>https://southsx.com/</v>
      </c>
      <c r="J14" s="4" t="str">
        <f>IFERROR(__xludf.DUMMYFUNCTION("""COMPUTED_VALUE"""),"-")</f>
        <v>-</v>
      </c>
      <c r="K14" s="4" t="str">
        <f>IFERROR(__xludf.DUMMYFUNCTION("""COMPUTED_VALUE"""),"519-322-5995")</f>
        <v>519-322-5995</v>
      </c>
      <c r="L14" s="4"/>
      <c r="M14" s="4" t="str">
        <f>IFERROR(__xludf.DUMMYFUNCTION("""COMPUTED_VALUE"""),"The Center for Horticultural Innovation is a dynamic institution committed to advancing horticultural sciences, fostering innovation, and supporting sustainable practices within the horticulture industry. ")</f>
        <v>The Center for Horticultural Innovation is a dynamic institution committed to advancing horticultural sciences, fostering innovation, and supporting sustainable practices within the horticulture industry. </v>
      </c>
    </row>
    <row r="15">
      <c r="A15" s="4" t="str">
        <f>IFERROR(__xludf.DUMMYFUNCTION("""COMPUTED_VALUE"""),"Canada Foundation for Innovation (CFI)")</f>
        <v>Canada Foundation for Innovation (CFI)</v>
      </c>
      <c r="B15" s="4" t="str">
        <f>IFERROR(__xludf.DUMMYFUNCTION("""COMPUTED_VALUE"""),"Ottawa, ON")</f>
        <v>Ottawa, ON</v>
      </c>
      <c r="C15" s="4" t="str">
        <f>IFERROR(__xludf.DUMMYFUNCTION("""COMPUTED_VALUE"""),"55 Metcalfe Street, Suite 100, Ottawa, ON K1P 6L5")</f>
        <v>55 Metcalfe Street, Suite 100, Ottawa, ON K1P 6L5</v>
      </c>
      <c r="D15" s="4">
        <f>IFERROR(__xludf.DUMMYFUNCTION("""COMPUTED_VALUE"""),45.422072495951)</f>
        <v>45.4220725</v>
      </c>
      <c r="E15" s="4">
        <f>IFERROR(__xludf.DUMMYFUNCTION("""COMPUTED_VALUE"""),-75.6966221031323)</f>
        <v>-75.6966221</v>
      </c>
      <c r="F15" s="4" t="str">
        <f>IFERROR(__xludf.DUMMYFUNCTION("""COMPUTED_VALUE"""),"ON")</f>
        <v>ON</v>
      </c>
      <c r="G15" s="4" t="str">
        <f>IFERROR(__xludf.DUMMYFUNCTION("""COMPUTED_VALUE"""),"Educational Institution / Research and Commercialization")</f>
        <v>Educational Institution / Research and Commercialization</v>
      </c>
      <c r="H15" s="4" t="str">
        <f>IFERROR(__xludf.DUMMYFUNCTION("""COMPUTED_VALUE"""),"Investments for research")</f>
        <v>Investments for research</v>
      </c>
      <c r="I15" s="44" t="str">
        <f>IFERROR(__xludf.DUMMYFUNCTION("""COMPUTED_VALUE"""),"https://www.innovation.ca/")</f>
        <v>https://www.innovation.ca/</v>
      </c>
      <c r="J15" s="4" t="str">
        <f>IFERROR(__xludf.DUMMYFUNCTION("""COMPUTED_VALUE"""),"info@innovation.ca")</f>
        <v>info@innovation.ca</v>
      </c>
      <c r="K15" s="4" t="str">
        <f>IFERROR(__xludf.DUMMYFUNCTION("""COMPUTED_VALUE"""),"613-947-6496")</f>
        <v>613-947-6496</v>
      </c>
      <c r="L15" s="4"/>
      <c r="M15" s="4" t="str">
        <f>IFERROR(__xludf.DUMMYFUNCTION("""COMPUTED_VALUE"""),"Non-profit corporation that invests in research infrastructure at Canadian universities, colleges, research hospitals, and non-profit research institutions.")</f>
        <v>Non-profit corporation that invests in research infrastructure at Canadian universities, colleges, research hospitals, and non-profit research institutions.</v>
      </c>
    </row>
    <row r="16">
      <c r="A16" s="4" t="str">
        <f>IFERROR(__xludf.DUMMYFUNCTION("""COMPUTED_VALUE"""),"Innovation York")</f>
        <v>Innovation York</v>
      </c>
      <c r="B16" s="4" t="str">
        <f>IFERROR(__xludf.DUMMYFUNCTION("""COMPUTED_VALUE"""),"Toronto, ON")</f>
        <v>Toronto, ON</v>
      </c>
      <c r="C16" s="4" t="str">
        <f>IFERROR(__xludf.DUMMYFUNCTION("""COMPUTED_VALUE"""),"4700 Keele St, York University, Toronto, ON M3J 1P3")</f>
        <v>4700 Keele St, York University, Toronto, ON M3J 1P3</v>
      </c>
      <c r="D16" s="4">
        <f>IFERROR(__xludf.DUMMYFUNCTION("""COMPUTED_VALUE"""),43.7735)</f>
        <v>43.7735</v>
      </c>
      <c r="E16" s="4">
        <f>IFERROR(__xludf.DUMMYFUNCTION("""COMPUTED_VALUE"""),-79.5019)</f>
        <v>-79.5019</v>
      </c>
      <c r="F16" s="4" t="str">
        <f>IFERROR(__xludf.DUMMYFUNCTION("""COMPUTED_VALUE"""),"ON")</f>
        <v>ON</v>
      </c>
      <c r="G16" s="4" t="str">
        <f>IFERROR(__xludf.DUMMYFUNCTION("""COMPUTED_VALUE"""),"Educational Institution / Research and Commercialization")</f>
        <v>Educational Institution / Research and Commercialization</v>
      </c>
      <c r="H16" s="4" t="str">
        <f>IFERROR(__xludf.DUMMYFUNCTION("""COMPUTED_VALUE"""),"Startup incubation, commercialization, research partnerships")</f>
        <v>Startup incubation, commercialization, research partnerships</v>
      </c>
      <c r="I16" s="44" t="str">
        <f>IFERROR(__xludf.DUMMYFUNCTION("""COMPUTED_VALUE"""),"https://www.yorku.ca/research/innovation-partnerships/")</f>
        <v>https://www.yorku.ca/research/innovation-partnerships/</v>
      </c>
      <c r="J16" s="4" t="str">
        <f>IFERROR(__xludf.DUMMYFUNCTION("""COMPUTED_VALUE"""),"fmoses@yorku.ca")</f>
        <v>fmoses@yorku.ca</v>
      </c>
      <c r="K16" s="4" t="str">
        <f>IFERROR(__xludf.DUMMYFUNCTION("""COMPUTED_VALUE"""),"416-736--5479 or 416-736-2100 x. 58185")</f>
        <v>416-736--5479 or 416-736-2100 x. 58185</v>
      </c>
      <c r="L16" s="4" t="str">
        <f>IFERROR(__xludf.DUMMYFUNCTION("""COMPUTED_VALUE"""),"Felix Moses, Senior Executive Officer")</f>
        <v>Felix Moses, Senior Executive Officer</v>
      </c>
      <c r="M16" s="4" t="str">
        <f>IFERROR(__xludf.DUMMYFUNCTION("""COMPUTED_VALUE"""),"Facilitates collaboration with external partners such as startups, research institutions, community and government organizations, and businesses to co-create innovative solutions. Supports ventures at York University")</f>
        <v>Facilitates collaboration with external partners such as startups, research institutions, community and government organizations, and businesses to co-create innovative solutions. Supports ventures at York University</v>
      </c>
    </row>
    <row r="17">
      <c r="A17" s="4" t="str">
        <f>IFERROR(__xludf.DUMMYFUNCTION("""COMPUTED_VALUE"""),"Vineland Research and Innovation Centre")</f>
        <v>Vineland Research and Innovation Centre</v>
      </c>
      <c r="B17" s="4" t="str">
        <f>IFERROR(__xludf.DUMMYFUNCTION("""COMPUTED_VALUE"""),"Vineland Station, ON")</f>
        <v>Vineland Station, ON</v>
      </c>
      <c r="C17" s="4" t="str">
        <f>IFERROR(__xludf.DUMMYFUNCTION("""COMPUTED_VALUE"""),"4890 Victoria Avenue North, Box 4000, Vineland Station, ON L0R 2E0")</f>
        <v>4890 Victoria Avenue North, Box 4000, Vineland Station, ON L0R 2E0</v>
      </c>
      <c r="D17" s="4">
        <f>IFERROR(__xludf.DUMMYFUNCTION("""COMPUTED_VALUE"""),43.1667)</f>
        <v>43.1667</v>
      </c>
      <c r="E17" s="4">
        <f>IFERROR(__xludf.DUMMYFUNCTION("""COMPUTED_VALUE"""),-79.4033)</f>
        <v>-79.4033</v>
      </c>
      <c r="F17" s="4" t="str">
        <f>IFERROR(__xludf.DUMMYFUNCTION("""COMPUTED_VALUE"""),"ON")</f>
        <v>ON</v>
      </c>
      <c r="G17" s="4" t="str">
        <f>IFERROR(__xludf.DUMMYFUNCTION("""COMPUTED_VALUE"""),"Educational Institution / Research and Commercialization")</f>
        <v>Educational Institution / Research and Commercialization</v>
      </c>
      <c r="H17" s="4" t="str">
        <f>IFERROR(__xludf.DUMMYFUNCTION("""COMPUTED_VALUE"""),"Agri-tech R&amp;D, commercialization, partnerships, horticultural innovation")</f>
        <v>Agri-tech R&amp;D, commercialization, partnerships, horticultural innovation</v>
      </c>
      <c r="I17" s="44" t="str">
        <f>IFERROR(__xludf.DUMMYFUNCTION("""COMPUTED_VALUE"""),"https://www.vinelandresearch.com/")</f>
        <v>https://www.vinelandresearch.com/</v>
      </c>
      <c r="J17" s="4" t="str">
        <f>IFERROR(__xludf.DUMMYFUNCTION("""COMPUTED_VALUE"""),"info@vinelandreasearch.com")</f>
        <v>info@vinelandreasearch.com</v>
      </c>
      <c r="K17" s="4" t="str">
        <f>IFERROR(__xludf.DUMMYFUNCTION("""COMPUTED_VALUE"""),"905-562-0320")</f>
        <v>905-562-0320</v>
      </c>
      <c r="L17" s="4"/>
      <c r="M17" s="4" t="str">
        <f>IFERROR(__xludf.DUMMYFUNCTION("""COMPUTED_VALUE"""),"Canadian results-oriented organization dedicated to horticulture science and innovation.")</f>
        <v>Canadian results-oriented organization dedicated to horticulture science and innovation.</v>
      </c>
    </row>
    <row r="18">
      <c r="A18" s="4" t="str">
        <f>IFERROR(__xludf.DUMMYFUNCTION("""COMPUTED_VALUE"""),"Institute for Quantum Computing (IQC) (University of Waterloo)")</f>
        <v>Institute for Quantum Computing (IQC) (University of Waterloo)</v>
      </c>
      <c r="B18" s="4" t="str">
        <f>IFERROR(__xludf.DUMMYFUNCTION("""COMPUTED_VALUE"""),"Waterloo, ON")</f>
        <v>Waterloo, ON</v>
      </c>
      <c r="C18" s="4" t="str">
        <f>IFERROR(__xludf.DUMMYFUNCTION("""COMPUTED_VALUE"""),"200 University Ave W, Waterloo, ON N2L 3G1")</f>
        <v>200 University Ave W, Waterloo, ON N2L 3G1</v>
      </c>
      <c r="D18" s="4">
        <f>IFERROR(__xludf.DUMMYFUNCTION("""COMPUTED_VALUE"""),43.46896)</f>
        <v>43.46896</v>
      </c>
      <c r="E18" s="4">
        <f>IFERROR(__xludf.DUMMYFUNCTION("""COMPUTED_VALUE"""),-80.53926)</f>
        <v>-80.53926</v>
      </c>
      <c r="F18" s="4" t="str">
        <f>IFERROR(__xludf.DUMMYFUNCTION("""COMPUTED_VALUE"""),"ON")</f>
        <v>ON</v>
      </c>
      <c r="G18" s="4" t="str">
        <f>IFERROR(__xludf.DUMMYFUNCTION("""COMPUTED_VALUE"""),"Educational Institution / Research and Commercialization")</f>
        <v>Educational Institution / Research and Commercialization</v>
      </c>
      <c r="H18" s="4" t="str">
        <f>IFERROR(__xludf.DUMMYFUNCTION("""COMPUTED_VALUE"""),"Quantum computing, Research, Innovation")</f>
        <v>Quantum computing, Research, Innovation</v>
      </c>
      <c r="I18" s="44" t="str">
        <f>IFERROR(__xludf.DUMMYFUNCTION("""COMPUTED_VALUE"""),"https://uwaterloo.ca/institute-for-quantum-computing")</f>
        <v>https://uwaterloo.ca/institute-for-quantum-computing</v>
      </c>
      <c r="J18" s="4" t="str">
        <f>IFERROR(__xludf.DUMMYFUNCTION("""COMPUTED_VALUE"""),"iqc-csi@uwaterloo.ca")</f>
        <v>iqc-csi@uwaterloo.ca</v>
      </c>
      <c r="K18" s="4" t="str">
        <f>IFERROR(__xludf.DUMMYFUNCTION("""COMPUTED_VALUE"""),"-")</f>
        <v>-</v>
      </c>
      <c r="L18" s="4"/>
      <c r="M18" s="4" t="str">
        <f>IFERROR(__xludf.DUMMYFUNCTION("""COMPUTED_VALUE"""),"World-leading quantum institute at the University of Waterloo, advancing the field of quantum information at the highest international level to discover and develop powerful new quantum technologies that will drive future economies.")</f>
        <v>World-leading quantum institute at the University of Waterloo, advancing the field of quantum information at the highest international level to discover and develop powerful new quantum technologies that will drive future economies.</v>
      </c>
    </row>
    <row r="19">
      <c r="A19" s="4" t="str">
        <f>IFERROR(__xludf.DUMMYFUNCTION("""COMPUTED_VALUE"""),"Microelectronics Heat Transfer Laboratory (MHTL) (University of Waterloo)")</f>
        <v>Microelectronics Heat Transfer Laboratory (MHTL) (University of Waterloo)</v>
      </c>
      <c r="B19" s="4" t="str">
        <f>IFERROR(__xludf.DUMMYFUNCTION("""COMPUTED_VALUE"""),"Waterloo, ON")</f>
        <v>Waterloo, ON</v>
      </c>
      <c r="C19" s="4" t="str">
        <f>IFERROR(__xludf.DUMMYFUNCTION("""COMPUTED_VALUE"""),"200 University Ave W, Waterloo, ON N2L 3G1")</f>
        <v>200 University Ave W, Waterloo, ON N2L 3G1</v>
      </c>
      <c r="D19" s="4">
        <f>IFERROR(__xludf.DUMMYFUNCTION("""COMPUTED_VALUE"""),43.46896)</f>
        <v>43.46896</v>
      </c>
      <c r="E19" s="4">
        <f>IFERROR(__xludf.DUMMYFUNCTION("""COMPUTED_VALUE"""),-80.53926)</f>
        <v>-80.53926</v>
      </c>
      <c r="F19" s="4" t="str">
        <f>IFERROR(__xludf.DUMMYFUNCTION("""COMPUTED_VALUE"""),"ON")</f>
        <v>ON</v>
      </c>
      <c r="G19" s="4" t="str">
        <f>IFERROR(__xludf.DUMMYFUNCTION("""COMPUTED_VALUE"""),"Educational Institution / Research and Commercialization")</f>
        <v>Educational Institution / Research and Commercialization</v>
      </c>
      <c r="H19" s="4" t="str">
        <f>IFERROR(__xludf.DUMMYFUNCTION("""COMPUTED_VALUE"""),"Microelectronics, Engineering, Tech research")</f>
        <v>Microelectronics, Engineering, Tech research</v>
      </c>
      <c r="I19" s="44" t="str">
        <f>IFERROR(__xludf.DUMMYFUNCTION("""COMPUTED_VALUE"""),"https://uwaterloo.ca/microelectronics-heat-transfer-laboratory/")</f>
        <v>https://uwaterloo.ca/microelectronics-heat-transfer-laboratory/</v>
      </c>
      <c r="J19" s="4" t="str">
        <f>IFERROR(__xludf.DUMMYFUNCTION("""COMPUTED_VALUE"""),"rix@uwaterloo.ca")</f>
        <v>rix@uwaterloo.ca</v>
      </c>
      <c r="K19" s="4" t="str">
        <f>IFERROR(__xludf.DUMMYFUNCTION("""COMPUTED_VALUE"""),"-")</f>
        <v>-</v>
      </c>
      <c r="L19" s="4" t="str">
        <f>IFERROR(__xludf.DUMMYFUNCTION("""COMPUTED_VALUE"""),"Dr. Rick Culham, Professor")</f>
        <v>Dr. Rick Culham, Professor</v>
      </c>
      <c r="M19" s="4" t="str">
        <f>IFERROR(__xludf.DUMMYFUNCTION("""COMPUTED_VALUE"""),"Provides research ervices related to analytical modelling, materials characterization, and experimental testing for a wide range of companies froms tart-ups to multi-nationals.")</f>
        <v>Provides research ervices related to analytical modelling, materials characterization, and experimental testing for a wide range of companies froms tart-ups to multi-nationals.</v>
      </c>
    </row>
    <row r="20">
      <c r="A20" s="4" t="str">
        <f>IFERROR(__xludf.DUMMYFUNCTION("""COMPUTED_VALUE"""),"Waterloo Advanced Systems Lab (WASL)")</f>
        <v>Waterloo Advanced Systems Lab (WASL)</v>
      </c>
      <c r="B20" s="4" t="str">
        <f>IFERROR(__xludf.DUMMYFUNCTION("""COMPUTED_VALUE"""),"Waterloo, ON")</f>
        <v>Waterloo, ON</v>
      </c>
      <c r="C20" s="4" t="str">
        <f>IFERROR(__xludf.DUMMYFUNCTION("""COMPUTED_VALUE"""),"200 University Ave W, Waterloo, ON N2L 3G1")</f>
        <v>200 University Ave W, Waterloo, ON N2L 3G1</v>
      </c>
      <c r="D20" s="4">
        <f>IFERROR(__xludf.DUMMYFUNCTION("""COMPUTED_VALUE"""),43.46896)</f>
        <v>43.46896</v>
      </c>
      <c r="E20" s="4">
        <f>IFERROR(__xludf.DUMMYFUNCTION("""COMPUTED_VALUE"""),-80.53926)</f>
        <v>-80.53926</v>
      </c>
      <c r="F20" s="4" t="str">
        <f>IFERROR(__xludf.DUMMYFUNCTION("""COMPUTED_VALUE"""),"ON")</f>
        <v>ON</v>
      </c>
      <c r="G20" s="4" t="str">
        <f>IFERROR(__xludf.DUMMYFUNCTION("""COMPUTED_VALUE"""),"Educational Institution / Research and Commercialization")</f>
        <v>Educational Institution / Research and Commercialization</v>
      </c>
      <c r="H20" s="4" t="str">
        <f>IFERROR(__xludf.DUMMYFUNCTION("""COMPUTED_VALUE"""),"Distributed systems, Network optimization, Data storage")</f>
        <v>Distributed systems, Network optimization, Data storage</v>
      </c>
      <c r="I20" s="44" t="str">
        <f>IFERROR(__xludf.DUMMYFUNCTION("""COMPUTED_VALUE"""),"https://wasl.uwaterloo.ca/")</f>
        <v>https://wasl.uwaterloo.ca/</v>
      </c>
      <c r="J20" s="4" t="str">
        <f>IFERROR(__xludf.DUMMYFUNCTION("""COMPUTED_VALUE"""),"alkiswany@uwaterloo.ca")</f>
        <v>alkiswany@uwaterloo.ca</v>
      </c>
      <c r="K20" s="4" t="str">
        <f>IFERROR(__xludf.DUMMYFUNCTION("""COMPUTED_VALUE"""),"-")</f>
        <v>-</v>
      </c>
      <c r="L20" s="4" t="str">
        <f>IFERROR(__xludf.DUMMYFUNCTION("""COMPUTED_VALUE"""),"Dr. Samer Al-Kiswany, Professor")</f>
        <v>Dr. Samer Al-Kiswany, Professor</v>
      </c>
      <c r="M20" s="4" t="str">
        <f>IFERROR(__xludf.DUMMYFUNCTION("""COMPUTED_VALUE"""),"Focuses on building the next generation of high performance, reliable, and scalable distributed systems.")</f>
        <v>Focuses on building the next generation of high performance, reliable, and scalable distributed systems.</v>
      </c>
    </row>
    <row r="21" ht="15.75" customHeight="1">
      <c r="A21" s="4" t="str">
        <f>IFERROR(__xludf.DUMMYFUNCTION("""COMPUTED_VALUE"""),"Waterloo Advanced Technology Laboratory (WATLab)")</f>
        <v>Waterloo Advanced Technology Laboratory (WATLab)</v>
      </c>
      <c r="B21" s="4" t="str">
        <f>IFERROR(__xludf.DUMMYFUNCTION("""COMPUTED_VALUE"""),"Waterloo, ON")</f>
        <v>Waterloo, ON</v>
      </c>
      <c r="C21" s="4" t="str">
        <f>IFERROR(__xludf.DUMMYFUNCTION("""COMPUTED_VALUE"""),"200 University Ave W, Waterloo, ON N2L 3G1")</f>
        <v>200 University Ave W, Waterloo, ON N2L 3G1</v>
      </c>
      <c r="D21" s="4">
        <f>IFERROR(__xludf.DUMMYFUNCTION("""COMPUTED_VALUE"""),43.46896)</f>
        <v>43.46896</v>
      </c>
      <c r="E21" s="4">
        <f>IFERROR(__xludf.DUMMYFUNCTION("""COMPUTED_VALUE"""),-80.53926)</f>
        <v>-80.53926</v>
      </c>
      <c r="F21" s="4" t="str">
        <f>IFERROR(__xludf.DUMMYFUNCTION("""COMPUTED_VALUE"""),"ON")</f>
        <v>ON</v>
      </c>
      <c r="G21" s="4" t="str">
        <f>IFERROR(__xludf.DUMMYFUNCTION("""COMPUTED_VALUE"""),"Educational Institution / Research and Commercialization")</f>
        <v>Educational Institution / Research and Commercialization</v>
      </c>
      <c r="H21" s="4" t="str">
        <f>IFERROR(__xludf.DUMMYFUNCTION("""COMPUTED_VALUE"""),"Materials research, Emerging technologies, Instrumentation")</f>
        <v>Materials research, Emerging technologies, Instrumentation</v>
      </c>
      <c r="I21" s="44" t="str">
        <f>IFERROR(__xludf.DUMMYFUNCTION("""COMPUTED_VALUE"""),"https://uwaterloo.ca/waterloo-advanced-technology-laboratory")</f>
        <v>https://uwaterloo.ca/waterloo-advanced-technology-laboratory</v>
      </c>
      <c r="J21" s="4" t="str">
        <f>IFERROR(__xludf.DUMMYFUNCTION("""COMPUTED_VALUE"""),"tong@uwaterloo.ca")</f>
        <v>tong@uwaterloo.ca</v>
      </c>
      <c r="K21" s="4" t="str">
        <f>IFERROR(__xludf.DUMMYFUNCTION("""COMPUTED_VALUE"""),"519-888-4567")</f>
        <v>519-888-4567</v>
      </c>
      <c r="L21" s="4" t="str">
        <f>IFERROR(__xludf.DUMMYFUNCTION("""COMPUTED_VALUE"""),"Dr. Kam Tong Leung, Professor and Advisor")</f>
        <v>Dr. Kam Tong Leung, Professor and Advisor</v>
      </c>
      <c r="M21" s="4" t="str">
        <f>IFERROR(__xludf.DUMMYFUNCTION("""COMPUTED_VALUE"""),"Offers a complete toolset for advanced materials research and emerging technology development.")</f>
        <v>Offers a complete toolset for advanced materials research and emerging technology development.</v>
      </c>
    </row>
    <row r="22" ht="15.75" customHeight="1">
      <c r="A22" s="4" t="str">
        <f>IFERROR(__xludf.DUMMYFUNCTION("""COMPUTED_VALUE"""),"Waterloo Institute for Nanotechnology (WIN)")</f>
        <v>Waterloo Institute for Nanotechnology (WIN)</v>
      </c>
      <c r="B22" s="4" t="str">
        <f>IFERROR(__xludf.DUMMYFUNCTION("""COMPUTED_VALUE"""),"Waterloo, ON")</f>
        <v>Waterloo, ON</v>
      </c>
      <c r="C22" s="4" t="str">
        <f>IFERROR(__xludf.DUMMYFUNCTION("""COMPUTED_VALUE"""),"200 University Ave W, Waterloo, ON N2L 3G1")</f>
        <v>200 University Ave W, Waterloo, ON N2L 3G1</v>
      </c>
      <c r="D22" s="4">
        <f>IFERROR(__xludf.DUMMYFUNCTION("""COMPUTED_VALUE"""),43.46896)</f>
        <v>43.46896</v>
      </c>
      <c r="E22" s="4">
        <f>IFERROR(__xludf.DUMMYFUNCTION("""COMPUTED_VALUE"""),-80.53926)</f>
        <v>-80.53926</v>
      </c>
      <c r="F22" s="4" t="str">
        <f>IFERROR(__xludf.DUMMYFUNCTION("""COMPUTED_VALUE"""),"ON")</f>
        <v>ON</v>
      </c>
      <c r="G22" s="4" t="str">
        <f>IFERROR(__xludf.DUMMYFUNCTION("""COMPUTED_VALUE"""),"Educational Institution / Research and Commercialization")</f>
        <v>Educational Institution / Research and Commercialization</v>
      </c>
      <c r="H22" s="4" t="str">
        <f>IFERROR(__xludf.DUMMYFUNCTION("""COMPUTED_VALUE"""),"Nanotechnology, Nanoscience, Research innovation")</f>
        <v>Nanotechnology, Nanoscience, Research innovation</v>
      </c>
      <c r="I22" s="44" t="str">
        <f>IFERROR(__xludf.DUMMYFUNCTION("""COMPUTED_VALUE"""),"https://uwaterloo.ca/institute-nanotechnology")</f>
        <v>https://uwaterloo.ca/institute-nanotechnology</v>
      </c>
      <c r="J22" s="4" t="str">
        <f>IFERROR(__xludf.DUMMYFUNCTION("""COMPUTED_VALUE"""),"win-office@uwaterloo.ca")</f>
        <v>win-office@uwaterloo.ca</v>
      </c>
      <c r="K22" s="4" t="str">
        <f>IFERROR(__xludf.DUMMYFUNCTION("""COMPUTED_VALUE"""),"519-888-4567")</f>
        <v>519-888-4567</v>
      </c>
      <c r="L22" s="4"/>
      <c r="M22" s="4" t="str">
        <f>IFERROR(__xludf.DUMMYFUNCTION("""COMPUTED_VALUE"""),"Making fundamental breakthroughs, discoveries, and innovations that will have both local and global impact for all Canadians.")</f>
        <v>Making fundamental breakthroughs, discoveries, and innovations that will have both local and global impact for all Canadians.</v>
      </c>
    </row>
    <row r="23" ht="15.75" customHeight="1">
      <c r="A23" s="4" t="str">
        <f>IFERROR(__xludf.DUMMYFUNCTION("""COMPUTED_VALUE"""),"Perimeter Institute for Theoretical Physics")</f>
        <v>Perimeter Institute for Theoretical Physics</v>
      </c>
      <c r="B23" s="4" t="str">
        <f>IFERROR(__xludf.DUMMYFUNCTION("""COMPUTED_VALUE"""),"Waterloo, ON")</f>
        <v>Waterloo, ON</v>
      </c>
      <c r="C23" s="4" t="str">
        <f>IFERROR(__xludf.DUMMYFUNCTION("""COMPUTED_VALUE"""),"31 Caroline St N, Waterloo, ON N2L 2Y5")</f>
        <v>31 Caroline St N, Waterloo, ON N2L 2Y5</v>
      </c>
      <c r="D23" s="4">
        <f>IFERROR(__xludf.DUMMYFUNCTION("""COMPUTED_VALUE"""),43.4654)</f>
        <v>43.4654</v>
      </c>
      <c r="E23" s="4">
        <f>IFERROR(__xludf.DUMMYFUNCTION("""COMPUTED_VALUE"""),-80.528)</f>
        <v>-80.528</v>
      </c>
      <c r="F23" s="4" t="str">
        <f>IFERROR(__xludf.DUMMYFUNCTION("""COMPUTED_VALUE"""),"ON")</f>
        <v>ON</v>
      </c>
      <c r="G23" s="4" t="str">
        <f>IFERROR(__xludf.DUMMYFUNCTION("""COMPUTED_VALUE"""),"Educational Institution / Research and Commercialization")</f>
        <v>Educational Institution / Research and Commercialization</v>
      </c>
      <c r="H23" s="4" t="str">
        <f>IFERROR(__xludf.DUMMYFUNCTION("""COMPUTED_VALUE"""),"Physics, research, innovation")</f>
        <v>Physics, research, innovation</v>
      </c>
      <c r="I23" s="44" t="str">
        <f>IFERROR(__xludf.DUMMYFUNCTION("""COMPUTED_VALUE"""),"https://www.perimeterinstitute.ca/")</f>
        <v>https://www.perimeterinstitute.ca/</v>
      </c>
      <c r="J23" s="4" t="str">
        <f>IFERROR(__xludf.DUMMYFUNCTION("""COMPUTED_VALUE"""),"-")</f>
        <v>-</v>
      </c>
      <c r="K23" s="4" t="str">
        <f>IFERROR(__xludf.DUMMYFUNCTION("""COMPUTED_VALUE"""),"519-569-7600")</f>
        <v>519-569-7600</v>
      </c>
      <c r="L23" s="4"/>
      <c r="M23" s="4" t="str">
        <f>IFERROR(__xludf.DUMMYFUNCTION("""COMPUTED_VALUE"""),"Leading centre for research, training, and outreach in theoretical physics.")</f>
        <v>Leading centre for research, training, and outreach in theoretical physics.</v>
      </c>
    </row>
    <row r="24" ht="15.75" customHeight="1">
      <c r="A24" s="4" t="str">
        <f>IFERROR(__xludf.DUMMYFUNCTION("""COMPUTED_VALUE"""),"David Johnston Research &amp; Technology Park")</f>
        <v>David Johnston Research &amp; Technology Park</v>
      </c>
      <c r="B24" s="4" t="str">
        <f>IFERROR(__xludf.DUMMYFUNCTION("""COMPUTED_VALUE"""),"Waterloo, ON")</f>
        <v>Waterloo, ON</v>
      </c>
      <c r="C24" s="4" t="str">
        <f>IFERROR(__xludf.DUMMYFUNCTION("""COMPUTED_VALUE"""),"200 University Ave W, GSC229, Waterloo, ON N2L 3G1")</f>
        <v>200 University Ave W, GSC229, Waterloo, ON N2L 3G1</v>
      </c>
      <c r="D24" s="4">
        <f>IFERROR(__xludf.DUMMYFUNCTION("""COMPUTED_VALUE"""),43.46896)</f>
        <v>43.46896</v>
      </c>
      <c r="E24" s="4">
        <f>IFERROR(__xludf.DUMMYFUNCTION("""COMPUTED_VALUE"""),-80.53926)</f>
        <v>-80.53926</v>
      </c>
      <c r="F24" s="4" t="str">
        <f>IFERROR(__xludf.DUMMYFUNCTION("""COMPUTED_VALUE"""),"ON")</f>
        <v>ON</v>
      </c>
      <c r="G24" s="4" t="str">
        <f>IFERROR(__xludf.DUMMYFUNCTION("""COMPUTED_VALUE"""),"Educational Institution / Research and Commercialization")</f>
        <v>Educational Institution / Research and Commercialization</v>
      </c>
      <c r="H24" s="4" t="str">
        <f>IFERROR(__xludf.DUMMYFUNCTION("""COMPUTED_VALUE"""),"Technology, Engineering, Startups")</f>
        <v>Technology, Engineering, Startups</v>
      </c>
      <c r="I24" s="44" t="str">
        <f>IFERROR(__xludf.DUMMYFUNCTION("""COMPUTED_VALUE"""),"https://rtpark.uwaterloo.ca/")</f>
        <v>https://rtpark.uwaterloo.ca/</v>
      </c>
      <c r="J24" s="4" t="str">
        <f>IFERROR(__xludf.DUMMYFUNCTION("""COMPUTED_VALUE"""),"jenn.dawe@uwaterloo.ca")</f>
        <v>jenn.dawe@uwaterloo.ca</v>
      </c>
      <c r="K24" s="4" t="str">
        <f>IFERROR(__xludf.DUMMYFUNCTION("""COMPUTED_VALUE"""),"519-497-9178")</f>
        <v>519-497-9178</v>
      </c>
      <c r="L24" s="4" t="str">
        <f>IFERROR(__xludf.DUMMYFUNCTION("""COMPUTED_VALUE"""),"Jennifer Dawe, Manager")</f>
        <v>Jennifer Dawe, Manager</v>
      </c>
      <c r="M24" s="4" t="str">
        <f>IFERROR(__xludf.DUMMYFUNCTION("""COMPUTED_VALUE"""),"Committed to fostering the creation of cutting-edge technology by helping companies innovate, access talent, and tap into a world-class ecosystem of startups.")</f>
        <v>Committed to fostering the creation of cutting-edge technology by helping companies innovate, access talent, and tap into a world-class ecosystem of startups.</v>
      </c>
    </row>
    <row r="25" ht="15.75" customHeight="1">
      <c r="A25" s="4" t="str">
        <f>IFERROR(__xludf.DUMMYFUNCTION("""COMPUTED_VALUE"""),"St. Clair College Centre for Applied Research and Innovation (CARI)")</f>
        <v>St. Clair College Centre for Applied Research and Innovation (CARI)</v>
      </c>
      <c r="B25" s="4" t="str">
        <f>IFERROR(__xludf.DUMMYFUNCTION("""COMPUTED_VALUE"""),"Windsor, ON")</f>
        <v>Windsor, ON</v>
      </c>
      <c r="C25" s="4" t="str">
        <f>IFERROR(__xludf.DUMMYFUNCTION("""COMPUTED_VALUE"""),"2000 Talbot Rd W, Windsor, ON N9A 6S4")</f>
        <v>2000 Talbot Rd W, Windsor, ON N9A 6S4</v>
      </c>
      <c r="D25" s="4">
        <f>IFERROR(__xludf.DUMMYFUNCTION("""COMPUTED_VALUE"""),42.2539)</f>
        <v>42.2539</v>
      </c>
      <c r="E25" s="4">
        <f>IFERROR(__xludf.DUMMYFUNCTION("""COMPUTED_VALUE"""),-83.0307)</f>
        <v>-83.0307</v>
      </c>
      <c r="F25" s="4" t="str">
        <f>IFERROR(__xludf.DUMMYFUNCTION("""COMPUTED_VALUE"""),"ON")</f>
        <v>ON</v>
      </c>
      <c r="G25" s="4" t="str">
        <f>IFERROR(__xludf.DUMMYFUNCTION("""COMPUTED_VALUE"""),"Educational Institution / Research and Commercialization")</f>
        <v>Educational Institution / Research and Commercialization</v>
      </c>
      <c r="H25" s="4" t="str">
        <f>IFERROR(__xludf.DUMMYFUNCTION("""COMPUTED_VALUE"""),"Applied research, Innovation, Manufacturing, Tech")</f>
        <v>Applied research, Innovation, Manufacturing, Tech</v>
      </c>
      <c r="I25" s="44" t="str">
        <f>IFERROR(__xludf.DUMMYFUNCTION("""COMPUTED_VALUE"""),"https://www.stclairresearch.ca/")</f>
        <v>https://www.stclairresearch.ca/</v>
      </c>
      <c r="J25" s="4" t="str">
        <f>IFERROR(__xludf.DUMMYFUNCTION("""COMPUTED_VALUE"""),"kdhillon@stclaircollege.ca")</f>
        <v>kdhillon@stclaircollege.ca</v>
      </c>
      <c r="K25" s="4" t="str">
        <f>IFERROR(__xludf.DUMMYFUNCTION("""COMPUTED_VALUE"""),"519-966-1656 x. 4182")</f>
        <v>519-966-1656 x. 4182</v>
      </c>
      <c r="L25" s="4" t="str">
        <f>IFERROR(__xludf.DUMMYFUNCTION("""COMPUTED_VALUE"""),"Dr. Karamjeet Dhillon, Director")</f>
        <v>Dr. Karamjeet Dhillon, Director</v>
      </c>
      <c r="M25" s="4" t="str">
        <f>IFERROR(__xludf.DUMMYFUNCTION("""COMPUTED_VALUE"""),"Partnership opportunities between organizations and students.")</f>
        <v>Partnership opportunities between organizations and students.</v>
      </c>
    </row>
    <row r="26" ht="15.75" customHeight="1">
      <c r="A26" s="4" t="str">
        <f>IFERROR(__xludf.DUMMYFUNCTION("""COMPUTED_VALUE"""),"University of Windsor’s Centre for Automotive Research (CAR)")</f>
        <v>University of Windsor’s Centre for Automotive Research (CAR)</v>
      </c>
      <c r="B26" s="4" t="str">
        <f>IFERROR(__xludf.DUMMYFUNCTION("""COMPUTED_VALUE"""),"Windsor, ON")</f>
        <v>Windsor, ON</v>
      </c>
      <c r="C26" s="4" t="str">
        <f>IFERROR(__xludf.DUMMYFUNCTION("""COMPUTED_VALUE"""),"401 Sunset Ave, Windsor, ON N9B 3P4")</f>
        <v>401 Sunset Ave, Windsor, ON N9B 3P4</v>
      </c>
      <c r="D26" s="4">
        <f>IFERROR(__xludf.DUMMYFUNCTION("""COMPUTED_VALUE"""),42.3063)</f>
        <v>42.3063</v>
      </c>
      <c r="E26" s="4">
        <f>IFERROR(__xludf.DUMMYFUNCTION("""COMPUTED_VALUE"""),-83.0659)</f>
        <v>-83.0659</v>
      </c>
      <c r="F26" s="4" t="str">
        <f>IFERROR(__xludf.DUMMYFUNCTION("""COMPUTED_VALUE"""),"ON")</f>
        <v>ON</v>
      </c>
      <c r="G26" s="4" t="str">
        <f>IFERROR(__xludf.DUMMYFUNCTION("""COMPUTED_VALUE"""),"Educational Institution / Research and Commercialization")</f>
        <v>Educational Institution / Research and Commercialization</v>
      </c>
      <c r="H26" s="4" t="str">
        <f>IFERROR(__xludf.DUMMYFUNCTION("""COMPUTED_VALUE"""),"Automotive research, Electric vehicles, Hybrid systems")</f>
        <v>Automotive research, Electric vehicles, Hybrid systems</v>
      </c>
      <c r="I26" s="44" t="str">
        <f>IFERROR(__xludf.DUMMYFUNCTION("""COMPUTED_VALUE"""),"https://www.uwindsor.ca/engineering/research/422/centre-automotive-research-and-education")</f>
        <v>https://www.uwindsor.ca/engineering/research/422/centre-automotive-research-and-education</v>
      </c>
      <c r="J26" s="4" t="str">
        <f>IFERROR(__xludf.DUMMYFUNCTION("""COMPUTED_VALUE"""),"pfrise@uwindsor.ca")</f>
        <v>pfrise@uwindsor.ca</v>
      </c>
      <c r="K26" s="4" t="str">
        <f>IFERROR(__xludf.DUMMYFUNCTION("""COMPUTED_VALUE"""),"519-253-3000 x. 3888")</f>
        <v>519-253-3000 x. 3888</v>
      </c>
      <c r="L26" s="4" t="str">
        <f>IFERROR(__xludf.DUMMYFUNCTION("""COMPUTED_VALUE"""),"Dr. Peter Frise, Director")</f>
        <v>Dr. Peter Frise, Director</v>
      </c>
      <c r="M26" s="4" t="str">
        <f>IFERROR(__xludf.DUMMYFUNCTION("""COMPUTED_VALUE"""),"Committed to conducting world-class research and educational initiatives that will enhance the Canadian automotive industry and its competitiveness in the global marketplace.")</f>
        <v>Committed to conducting world-class research and educational initiatives that will enhance the Canadian automotive industry and its competitiveness in the global marketplace.</v>
      </c>
    </row>
    <row r="27" ht="15.75" customHeight="1">
      <c r="A27" s="4" t="str">
        <f>IFERROR(__xludf.DUMMYFUNCTION("""COMPUTED_VALUE"""),"University of Windsor’s Great Lakes Institute for Environmental Research (GLIER)")</f>
        <v>University of Windsor’s Great Lakes Institute for Environmental Research (GLIER)</v>
      </c>
      <c r="B27" s="4" t="str">
        <f>IFERROR(__xludf.DUMMYFUNCTION("""COMPUTED_VALUE"""),"Windsor, ON")</f>
        <v>Windsor, ON</v>
      </c>
      <c r="C27" s="4" t="str">
        <f>IFERROR(__xludf.DUMMYFUNCTION("""COMPUTED_VALUE"""),"2990 Riverside Dr W, WIndsor, ON N9C 4G3")</f>
        <v>2990 Riverside Dr W, WIndsor, ON N9C 4G3</v>
      </c>
      <c r="D27" s="4">
        <f>IFERROR(__xludf.DUMMYFUNCTION("""COMPUTED_VALUE"""),42.3079203915664)</f>
        <v>42.30792039</v>
      </c>
      <c r="E27" s="4">
        <f>IFERROR(__xludf.DUMMYFUNCTION("""COMPUTED_VALUE"""),-83.073188826581)</f>
        <v>-83.07318883</v>
      </c>
      <c r="F27" s="4" t="str">
        <f>IFERROR(__xludf.DUMMYFUNCTION("""COMPUTED_VALUE"""),"ON")</f>
        <v>ON</v>
      </c>
      <c r="G27" s="4" t="str">
        <f>IFERROR(__xludf.DUMMYFUNCTION("""COMPUTED_VALUE"""),"Educational Institution / Research and Commercialization")</f>
        <v>Educational Institution / Research and Commercialization</v>
      </c>
      <c r="H27" s="4" t="str">
        <f>IFERROR(__xludf.DUMMYFUNCTION("""COMPUTED_VALUE"""),"Environmental research, Sustainability, Green technologies")</f>
        <v>Environmental research, Sustainability, Green technologies</v>
      </c>
      <c r="I27" s="44" t="str">
        <f>IFERROR(__xludf.DUMMYFUNCTION("""COMPUTED_VALUE"""),"https://www.uwindsor.ca/glier/")</f>
        <v>https://www.uwindsor.ca/glier/</v>
      </c>
      <c r="J27" s="4" t="str">
        <f>IFERROR(__xludf.DUMMYFUNCTION("""COMPUTED_VALUE"""),"Robert.Mckay@uwindsor.ca")</f>
        <v>Robert.Mckay@uwindsor.ca</v>
      </c>
      <c r="K27" s="4" t="str">
        <f>IFERROR(__xludf.DUMMYFUNCTION("""COMPUTED_VALUE"""),"519-253-3000 x. 2797 or x. 2732")</f>
        <v>519-253-3000 x. 2797 or x. 2732</v>
      </c>
      <c r="L27" s="4" t="str">
        <f>IFERROR(__xludf.DUMMYFUNCTION("""COMPUTED_VALUE"""),"Dr. Mike McKay, Director")</f>
        <v>Dr. Mike McKay, Director</v>
      </c>
      <c r="M27" s="4" t="str">
        <f>IFERROR(__xludf.DUMMYFUNCTION("""COMPUTED_VALUE"""),"Addresses complex environmental problems that cross conventional disciplinary boundaries such as the effects of multiple environmental stressors on large lakes and their watersheds.")</f>
        <v>Addresses complex environmental problems that cross conventional disciplinary boundaries such as the effects of multiple environmental stressors on large lakes and their watersheds.</v>
      </c>
    </row>
    <row r="28" ht="15.75" customHeight="1">
      <c r="A28" s="4" t="str">
        <f>IFERROR(__xludf.DUMMYFUNCTION("""COMPUTED_VALUE"""),"University of Windsor’s Institute for Diagnostic Imaging Research (IDIR)")</f>
        <v>University of Windsor’s Institute for Diagnostic Imaging Research (IDIR)</v>
      </c>
      <c r="B28" s="4" t="str">
        <f>IFERROR(__xludf.DUMMYFUNCTION("""COMPUTED_VALUE"""),"Windsor, ON")</f>
        <v>Windsor, ON</v>
      </c>
      <c r="C28" s="4" t="str">
        <f>IFERROR(__xludf.DUMMYFUNCTION("""COMPUTED_VALUE"""),"688 University Ave W, Windsor, ON N9A 5R5")</f>
        <v>688 University Ave W, Windsor, ON N9A 5R5</v>
      </c>
      <c r="D28" s="4">
        <f>IFERROR(__xludf.DUMMYFUNCTION("""COMPUTED_VALUE"""),42.3157477386104)</f>
        <v>42.31574774</v>
      </c>
      <c r="E28" s="4">
        <f>IFERROR(__xludf.DUMMYFUNCTION("""COMPUTED_VALUE"""),-83.0470754744611)</f>
        <v>-83.04707547</v>
      </c>
      <c r="F28" s="4" t="str">
        <f>IFERROR(__xludf.DUMMYFUNCTION("""COMPUTED_VALUE"""),"ON")</f>
        <v>ON</v>
      </c>
      <c r="G28" s="4" t="str">
        <f>IFERROR(__xludf.DUMMYFUNCTION("""COMPUTED_VALUE"""),"Educational Institution / Research and Commercialization")</f>
        <v>Educational Institution / Research and Commercialization</v>
      </c>
      <c r="H28" s="4" t="str">
        <f>IFERROR(__xludf.DUMMYFUNCTION("""COMPUTED_VALUE"""),"Diagnostic imaging, Medical physics, Non-destructive testing")</f>
        <v>Diagnostic imaging, Medical physics, Non-destructive testing</v>
      </c>
      <c r="I28" s="44" t="str">
        <f>IFERROR(__xludf.DUMMYFUNCTION("""COMPUTED_VALUE"""),"https://www.uwindsor.ca/idir/")</f>
        <v>https://www.uwindsor.ca/idir/</v>
      </c>
      <c r="J28" s="4" t="str">
        <f>IFERROR(__xludf.DUMMYFUNCTION("""COMPUTED_VALUE"""),"beneteh@uwindsor.ca")</f>
        <v>beneteh@uwindsor.ca</v>
      </c>
      <c r="K28" s="4" t="str">
        <f>IFERROR(__xludf.DUMMYFUNCTION("""COMPUTED_VALUE"""),"519-977-7400 x. 223")</f>
        <v>519-977-7400 x. 223</v>
      </c>
      <c r="L28" s="4" t="str">
        <f>IFERROR(__xludf.DUMMYFUNCTION("""COMPUTED_VALUE"""),"Sarah Beneteau, Administrative Manager")</f>
        <v>Sarah Beneteau, Administrative Manager</v>
      </c>
      <c r="M28" s="4" t="str">
        <f>IFERROR(__xludf.DUMMYFUNCTION("""COMPUTED_VALUE"""),"Conducts applied reseaerch, develops products, and handles product commercialization for a growing list of regional, national, and international clients.")</f>
        <v>Conducts applied reseaerch, develops products, and handles product commercialization for a growing list of regional, national, and international clients.</v>
      </c>
    </row>
    <row r="29" ht="15.75" customHeight="1">
      <c r="A29" s="4" t="str">
        <f>IFERROR(__xludf.DUMMYFUNCTION("""COMPUTED_VALUE"""),"Vector Institute Toronto")</f>
        <v>Vector Institute Toronto</v>
      </c>
      <c r="B29" s="4" t="str">
        <f>IFERROR(__xludf.DUMMYFUNCTION("""COMPUTED_VALUE"""),"Toronto, ON")</f>
        <v>Toronto, ON</v>
      </c>
      <c r="C29" s="4" t="str">
        <f>IFERROR(__xludf.DUMMYFUNCTION("""COMPUTED_VALUE"""),"108 College St, Toronto, ON M5G 0C6")</f>
        <v>108 College St, Toronto, ON M5G 0C6</v>
      </c>
      <c r="D29" s="4">
        <f>IFERROR(__xludf.DUMMYFUNCTION("""COMPUTED_VALUE"""),43.6603982265977)</f>
        <v>43.66039823</v>
      </c>
      <c r="E29" s="4">
        <f>IFERROR(__xludf.DUMMYFUNCTION("""COMPUTED_VALUE"""),-79.3891561320626)</f>
        <v>-79.38915613</v>
      </c>
      <c r="F29" s="4" t="str">
        <f>IFERROR(__xludf.DUMMYFUNCTION("""COMPUTED_VALUE"""),"ON")</f>
        <v>ON</v>
      </c>
      <c r="G29" s="4" t="str">
        <f>IFERROR(__xludf.DUMMYFUNCTION("""COMPUTED_VALUE"""),"Educational Institution / Research and Commercialization")</f>
        <v>Educational Institution / Research and Commercialization</v>
      </c>
      <c r="H29" s="4" t="str">
        <f>IFERROR(__xludf.DUMMYFUNCTION("""COMPUTED_VALUE"""),"AI adoption, AI development")</f>
        <v>AI adoption, AI development</v>
      </c>
      <c r="I29" s="44" t="str">
        <f>IFERROR(__xludf.DUMMYFUNCTION("""COMPUTED_VALUE"""),"https://vectorinstitute.ai")</f>
        <v>https://vectorinstitute.ai</v>
      </c>
      <c r="J29" s="4" t="str">
        <f>IFERROR(__xludf.DUMMYFUNCTION("""COMPUTED_VALUE"""),"info@vectorinstitute.ai")</f>
        <v>info@vectorinstitute.ai</v>
      </c>
      <c r="K29" s="4" t="str">
        <f>IFERROR(__xludf.DUMMYFUNCTION("""COMPUTED_VALUE"""),"-")</f>
        <v>-</v>
      </c>
      <c r="L29" s="4"/>
      <c r="M29" s="4" t="str">
        <f>IFERROR(__xludf.DUMMYFUNCTION("""COMPUTED_VALUE"""),"Globally-renowned AI Institute that empowers researchers, businesses, and governments, to deveop and adopt AI responsibly.")</f>
        <v>Globally-renowned AI Institute that empowers researchers, businesses, and governments, to deveop and adopt AI responsibly.</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3"/>
    <hyperlink r:id="rId12" ref="I14"/>
    <hyperlink r:id="rId13" ref="I15"/>
    <hyperlink r:id="rId14" ref="I16"/>
    <hyperlink r:id="rId15" ref="I17"/>
    <hyperlink r:id="rId16" ref="I18"/>
    <hyperlink r:id="rId17" ref="I19"/>
    <hyperlink r:id="rId18" ref="I20"/>
    <hyperlink r:id="rId19" ref="I21"/>
    <hyperlink r:id="rId20" ref="I22"/>
    <hyperlink r:id="rId21" ref="I23"/>
    <hyperlink r:id="rId22" ref="I24"/>
    <hyperlink r:id="rId23" ref="I25"/>
    <hyperlink r:id="rId24" ref="I26"/>
    <hyperlink r:id="rId25" ref="I27"/>
    <hyperlink r:id="rId26" ref="I28"/>
    <hyperlink r:id="rId27" ref="I29"/>
  </hyperlinks>
  <printOptions/>
  <pageMargins bottom="0.75" footer="0.0" header="0.0" left="0.7" right="0.7" top="0.75"/>
  <pageSetup orientation="landscape"/>
  <drawing r:id="rId2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4" t="str">
        <f>IFERROR(__xludf.DUMMYFUNCTION("VSTACK('Asset Map - v2'!A1:M1, FILTER('Asset Map - v2'!A:M, 'Asset Map - v2'!G:G=""VC and Funding""))"),"Organization Name")</f>
        <v>Organization Name</v>
      </c>
      <c r="B1" s="4" t="str">
        <f>IFERROR(__xludf.DUMMYFUNCTION("""COMPUTED_VALUE"""),"City")</f>
        <v>City</v>
      </c>
      <c r="C1" s="4" t="str">
        <f>IFERROR(__xludf.DUMMYFUNCTION("""COMPUTED_VALUE"""),"Address")</f>
        <v>Address</v>
      </c>
      <c r="D1" s="4" t="str">
        <f>IFERROR(__xludf.DUMMYFUNCTION("""COMPUTED_VALUE"""),"Latitude")</f>
        <v>Latitude</v>
      </c>
      <c r="E1" s="4" t="str">
        <f>IFERROR(__xludf.DUMMYFUNCTION("""COMPUTED_VALUE"""),"Longitude")</f>
        <v>Longitude</v>
      </c>
      <c r="F1" s="4" t="str">
        <f>IFERROR(__xludf.DUMMYFUNCTION("""COMPUTED_VALUE"""),"Province/State")</f>
        <v>Province/State</v>
      </c>
      <c r="G1" s="4" t="str">
        <f>IFERROR(__xludf.DUMMYFUNCTION("""COMPUTED_VALUE"""),"Sector/Type")</f>
        <v>Sector/Type</v>
      </c>
      <c r="H1" s="4" t="str">
        <f>IFERROR(__xludf.DUMMYFUNCTION("""COMPUTED_VALUE"""),"Services Offered")</f>
        <v>Services Offered</v>
      </c>
      <c r="I1" s="4" t="str">
        <f>IFERROR(__xludf.DUMMYFUNCTION("""COMPUTED_VALUE"""),"Website")</f>
        <v>Website</v>
      </c>
      <c r="J1" s="4" t="str">
        <f>IFERROR(__xludf.DUMMYFUNCTION("""COMPUTED_VALUE"""),"Email Address")</f>
        <v>Email Address</v>
      </c>
      <c r="K1" s="4" t="str">
        <f>IFERROR(__xludf.DUMMYFUNCTION("""COMPUTED_VALUE"""),"Phone Number")</f>
        <v>Phone Number</v>
      </c>
      <c r="L1" s="4" t="str">
        <f>IFERROR(__xludf.DUMMYFUNCTION("""COMPUTED_VALUE"""),"Contact Name")</f>
        <v>Contact Name</v>
      </c>
      <c r="M1" s="4" t="str">
        <f>IFERROR(__xludf.DUMMYFUNCTION("""COMPUTED_VALUE"""),"Notes")</f>
        <v>Notes</v>
      </c>
    </row>
    <row r="2">
      <c r="A2" s="4" t="str">
        <f>IFERROR(__xludf.DUMMYFUNCTION("""COMPUTED_VALUE"""),"Arboretum Ventures")</f>
        <v>Arboretum Ventures</v>
      </c>
      <c r="B2" s="4" t="str">
        <f>IFERROR(__xludf.DUMMYFUNCTION("""COMPUTED_VALUE"""),"Ann Arbor, MI")</f>
        <v>Ann Arbor, MI</v>
      </c>
      <c r="C2" s="4" t="str">
        <f>IFERROR(__xludf.DUMMYFUNCTION("""COMPUTED_VALUE"""),"201 S Main St., 3rd Floor, Ann Arbor, MI 48104")</f>
        <v>201 S Main St., 3rd Floor, Ann Arbor, MI 48104</v>
      </c>
      <c r="D2" s="4">
        <f>IFERROR(__xludf.DUMMYFUNCTION("""COMPUTED_VALUE"""),42.280293)</f>
        <v>42.280293</v>
      </c>
      <c r="E2" s="4">
        <f>IFERROR(__xludf.DUMMYFUNCTION("""COMPUTED_VALUE"""),-83.748186)</f>
        <v>-83.748186</v>
      </c>
      <c r="F2" s="4" t="str">
        <f>IFERROR(__xludf.DUMMYFUNCTION("""COMPUTED_VALUE"""),"MI")</f>
        <v>MI</v>
      </c>
      <c r="G2" s="4" t="str">
        <f>IFERROR(__xludf.DUMMYFUNCTION("""COMPUTED_VALUE"""),"VC and Funding")</f>
        <v>VC and Funding</v>
      </c>
      <c r="H2" s="4" t="str">
        <f>IFERROR(__xludf.DUMMYFUNCTION("""COMPUTED_VALUE"""),"Medtech, Diagnostics, Healthcare IT")</f>
        <v>Medtech, Diagnostics, Healthcare IT</v>
      </c>
      <c r="I2" s="44" t="str">
        <f>IFERROR(__xludf.DUMMYFUNCTION("""COMPUTED_VALUE"""),"https://www.arboretumvc.com/")</f>
        <v>https://www.arboretumvc.com/</v>
      </c>
      <c r="J2" s="4" t="str">
        <f>IFERROR(__xludf.DUMMYFUNCTION("""COMPUTED_VALUE"""),"info@arboretumvc.com")</f>
        <v>info@arboretumvc.com</v>
      </c>
      <c r="K2" s="4" t="str">
        <f>IFERROR(__xludf.DUMMYFUNCTION("""COMPUTED_VALUE"""),"734.998.3689")</f>
        <v>734.998.3689</v>
      </c>
      <c r="L2" s="4"/>
      <c r="M2" s="4" t="str">
        <f>IFERROR(__xludf.DUMMYFUNCTION("""COMPUTED_VALUE"""),"Seed, Series A, Series B. A healthcare venture capital firm rooted in the Midwest.")</f>
        <v>Seed, Series A, Series B. A healthcare venture capital firm rooted in the Midwest.</v>
      </c>
    </row>
    <row r="3">
      <c r="A3" s="4" t="str">
        <f>IFERROR(__xludf.DUMMYFUNCTION("""COMPUTED_VALUE"""),"MichiganRise")</f>
        <v>MichiganRise</v>
      </c>
      <c r="B3" s="4" t="str">
        <f>IFERROR(__xludf.DUMMYFUNCTION("""COMPUTED_VALUE"""),"Ann Arbor, MI")</f>
        <v>Ann Arbor, MI</v>
      </c>
      <c r="C3" s="4" t="str">
        <f>IFERROR(__xludf.DUMMYFUNCTION("""COMPUTED_VALUE"""),"325 E Grand River Ave, Suite 275, East Lansing, MI 48823")</f>
        <v>325 E Grand River Ave, Suite 275, East Lansing, MI 48823</v>
      </c>
      <c r="D3" s="4">
        <f>IFERROR(__xludf.DUMMYFUNCTION("""COMPUTED_VALUE"""),42.7346)</f>
        <v>42.7346</v>
      </c>
      <c r="E3" s="4">
        <f>IFERROR(__xludf.DUMMYFUNCTION("""COMPUTED_VALUE"""),-84.4808)</f>
        <v>-84.4808</v>
      </c>
      <c r="F3" s="4" t="str">
        <f>IFERROR(__xludf.DUMMYFUNCTION("""COMPUTED_VALUE"""),"MI")</f>
        <v>MI</v>
      </c>
      <c r="G3" s="4" t="str">
        <f>IFERROR(__xludf.DUMMYFUNCTION("""COMPUTED_VALUE"""),"VC and Funding")</f>
        <v>VC and Funding</v>
      </c>
      <c r="H3" s="4" t="str">
        <f>IFERROR(__xludf.DUMMYFUNCTION("""COMPUTED_VALUE"""),"Early stage venture capital funding, startups")</f>
        <v>Early stage venture capital funding, startups</v>
      </c>
      <c r="I3" s="44" t="str">
        <f>IFERROR(__xludf.DUMMYFUNCTION("""COMPUTED_VALUE"""),"https://www.michiganrise.org/")</f>
        <v>https://www.michiganrise.org/</v>
      </c>
      <c r="J3" s="4" t="str">
        <f>IFERROR(__xludf.DUMMYFUNCTION("""COMPUTED_VALUE"""),"info@michiganrise.com")</f>
        <v>info@michiganrise.com</v>
      </c>
      <c r="K3" s="4" t="str">
        <f>IFERROR(__xludf.DUMMYFUNCTION("""COMPUTED_VALUE"""),"(517) 884-1564")</f>
        <v>(517) 884-1564</v>
      </c>
      <c r="L3" s="4"/>
      <c r="M3" s="4" t="str">
        <f>IFERROR(__xludf.DUMMYFUNCTION("""COMPUTED_VALUE"""),"Supports Michigan-based technology startups.")</f>
        <v>Supports Michigan-based technology startups.</v>
      </c>
    </row>
    <row r="4">
      <c r="A4" s="4" t="str">
        <f>IFERROR(__xludf.DUMMYFUNCTION("""COMPUTED_VALUE"""),"Amherst Fund")</f>
        <v>Amherst Fund</v>
      </c>
      <c r="B4" s="4" t="str">
        <f>IFERROR(__xludf.DUMMYFUNCTION("""COMPUTED_VALUE"""),"Ann Arbor, MI")</f>
        <v>Ann Arbor, MI</v>
      </c>
      <c r="C4" s="4" t="str">
        <f>IFERROR(__xludf.DUMMYFUNCTION("""COMPUTED_VALUE"""),"401 E Stadium Blvd, Ann Arbor, MI 48104")</f>
        <v>401 E Stadium Blvd, Ann Arbor, MI 48104</v>
      </c>
      <c r="D4" s="4">
        <f>IFERROR(__xludf.DUMMYFUNCTION("""COMPUTED_VALUE"""),42.2769)</f>
        <v>42.2769</v>
      </c>
      <c r="E4" s="4">
        <f>IFERROR(__xludf.DUMMYFUNCTION("""COMPUTED_VALUE"""),-83.741)</f>
        <v>-83.741</v>
      </c>
      <c r="F4" s="4" t="str">
        <f>IFERROR(__xludf.DUMMYFUNCTION("""COMPUTED_VALUE"""),"MI")</f>
        <v>MI</v>
      </c>
      <c r="G4" s="4" t="str">
        <f>IFERROR(__xludf.DUMMYFUNCTION("""COMPUTED_VALUE"""),"VC and Funding")</f>
        <v>VC and Funding</v>
      </c>
      <c r="H4" s="4" t="str">
        <f>IFERROR(__xludf.DUMMYFUNCTION("""COMPUTED_VALUE"""),"Early stage VC investments, Later stage private quity investments")</f>
        <v>Early stage VC investments, Later stage private quity investments</v>
      </c>
      <c r="I4" s="44" t="str">
        <f>IFERROR(__xludf.DUMMYFUNCTION("""COMPUTED_VALUE"""),"http://www.amherstfund.com/")</f>
        <v>http://www.amherstfund.com/</v>
      </c>
      <c r="J4" s="4" t="str">
        <f>IFERROR(__xludf.DUMMYFUNCTION("""COMPUTED_VALUE"""),"info@amherstfund.com")</f>
        <v>info@amherstfund.com</v>
      </c>
      <c r="K4" s="4">
        <f>IFERROR(__xludf.DUMMYFUNCTION("""COMPUTED_VALUE"""),7.346622102E9)</f>
        <v>7346622102</v>
      </c>
      <c r="L4" s="4"/>
      <c r="M4" s="4" t="str">
        <f>IFERROR(__xludf.DUMMYFUNCTION("""COMPUTED_VALUE"""),"Currently not considering new investments in privately held ventures.")</f>
        <v>Currently not considering new investments in privately held ventures.</v>
      </c>
    </row>
    <row r="5">
      <c r="A5" s="4" t="str">
        <f>IFERROR(__xludf.DUMMYFUNCTION("""COMPUTED_VALUE"""),"Birmingham Angels")</f>
        <v>Birmingham Angels</v>
      </c>
      <c r="B5" s="4" t="str">
        <f>IFERROR(__xludf.DUMMYFUNCTION("""COMPUTED_VALUE"""),"Birmingham, MI")</f>
        <v>Birmingham, MI</v>
      </c>
      <c r="C5" s="4" t="str">
        <f>IFERROR(__xludf.DUMMYFUNCTION("""COMPUTED_VALUE"""),"34300 Woodward Ave Suite #200, Birmingham, MI 48009")</f>
        <v>34300 Woodward Ave Suite #200, Birmingham, MI 48009</v>
      </c>
      <c r="D5" s="4">
        <f>IFERROR(__xludf.DUMMYFUNCTION("""COMPUTED_VALUE"""),42.5517)</f>
        <v>42.5517</v>
      </c>
      <c r="E5" s="4">
        <f>IFERROR(__xludf.DUMMYFUNCTION("""COMPUTED_VALUE"""),-83.2151)</f>
        <v>-83.2151</v>
      </c>
      <c r="F5" s="4" t="str">
        <f>IFERROR(__xludf.DUMMYFUNCTION("""COMPUTED_VALUE"""),"MI")</f>
        <v>MI</v>
      </c>
      <c r="G5" s="4" t="str">
        <f>IFERROR(__xludf.DUMMYFUNCTION("""COMPUTED_VALUE"""),"VC and Funding")</f>
        <v>VC and Funding</v>
      </c>
      <c r="H5" s="4" t="str">
        <f>IFERROR(__xludf.DUMMYFUNCTION("""COMPUTED_VALUE"""),"Fund scalable tech companies in a variety of stages, industies, and market verticals.")</f>
        <v>Fund scalable tech companies in a variety of stages, industies, and market verticals.</v>
      </c>
      <c r="I5" s="44" t="str">
        <f>IFERROR(__xludf.DUMMYFUNCTION("""COMPUTED_VALUE"""),"https://birminghamangels.org/")</f>
        <v>https://birminghamangels.org/</v>
      </c>
      <c r="J5" s="4" t="str">
        <f>IFERROR(__xludf.DUMMYFUNCTION("""COMPUTED_VALUE"""),"dyork@citysidevc.com")</f>
        <v>dyork@citysidevc.com</v>
      </c>
      <c r="K5" s="4" t="str">
        <f>IFERROR(__xludf.DUMMYFUNCTION("""COMPUTED_VALUE"""),"248.605.2029")</f>
        <v>248.605.2029</v>
      </c>
      <c r="L5" s="4"/>
      <c r="M5" s="4" t="str">
        <f>IFERROR(__xludf.DUMMYFUNCTION("""COMPUTED_VALUE"""),"Autonomive, SaaS, Wearble technology, Medical tech &amp; telehealth, Agricutural &amp; food tech, Fintech, Technology in motion, Blockchain software, AI, Digital media &amp; intelligent commerce")</f>
        <v>Autonomive, SaaS, Wearble technology, Medical tech &amp; telehealth, Agricutural &amp; food tech, Fintech, Technology in motion, Blockchain software, AI, Digital media &amp; intelligent commerce</v>
      </c>
    </row>
    <row r="6">
      <c r="A6" s="4" t="str">
        <f>IFERROR(__xludf.DUMMYFUNCTION("""COMPUTED_VALUE"""),"Michigan Venture Capital Association (MVCA)")</f>
        <v>Michigan Venture Capital Association (MVCA)</v>
      </c>
      <c r="B6" s="4" t="str">
        <f>IFERROR(__xludf.DUMMYFUNCTION("""COMPUTED_VALUE"""),"Bloomfield Fields, MI")</f>
        <v>Bloomfield Fields, MI</v>
      </c>
      <c r="C6" s="4" t="str">
        <f>IFERROR(__xludf.DUMMYFUNCTION("""COMPUTED_VALUE"""),"6632 Telegraph Rd #286, Bloomfield Hills, MI 48301")</f>
        <v>6632 Telegraph Rd #286, Bloomfield Hills, MI 48301</v>
      </c>
      <c r="D6" s="4">
        <f>IFERROR(__xludf.DUMMYFUNCTION("""COMPUTED_VALUE"""),42.5419)</f>
        <v>42.5419</v>
      </c>
      <c r="E6" s="4">
        <f>IFERROR(__xludf.DUMMYFUNCTION("""COMPUTED_VALUE"""),-83.2854)</f>
        <v>-83.2854</v>
      </c>
      <c r="F6" s="4" t="str">
        <f>IFERROR(__xludf.DUMMYFUNCTION("""COMPUTED_VALUE"""),"MI")</f>
        <v>MI</v>
      </c>
      <c r="G6" s="4" t="str">
        <f>IFERROR(__xludf.DUMMYFUNCTION("""COMPUTED_VALUE"""),"VC and Funding")</f>
        <v>VC and Funding</v>
      </c>
      <c r="H6" s="4" t="str">
        <f>IFERROR(__xludf.DUMMYFUNCTION("""COMPUTED_VALUE"""),"Venture capital, investments")</f>
        <v>Venture capital, investments</v>
      </c>
      <c r="I6" s="44" t="str">
        <f>IFERROR(__xludf.DUMMYFUNCTION("""COMPUTED_VALUE"""),"https://michiganvca.org/")</f>
        <v>https://michiganvca.org/</v>
      </c>
      <c r="J6" s="4" t="str">
        <f>IFERROR(__xludf.DUMMYFUNCTION("""COMPUTED_VALUE"""),"info@michiganvca.org")</f>
        <v>info@michiganvca.org</v>
      </c>
      <c r="K6" s="4"/>
      <c r="L6" s="4"/>
      <c r="M6" s="4" t="str">
        <f>IFERROR(__xludf.DUMMYFUNCTION("""COMPUTED_VALUE"""),"Advocates for policies, connects members to entrepreneurial community")</f>
        <v>Advocates for policies, connects members to entrepreneurial community</v>
      </c>
    </row>
    <row r="7">
      <c r="A7" s="4" t="str">
        <f>IFERROR(__xludf.DUMMYFUNCTION("""COMPUTED_VALUE"""),"Rockbridge Growth Equity")</f>
        <v>Rockbridge Growth Equity</v>
      </c>
      <c r="B7" s="4" t="str">
        <f>IFERROR(__xludf.DUMMYFUNCTION("""COMPUTED_VALUE"""),"Detroit, MI")</f>
        <v>Detroit, MI</v>
      </c>
      <c r="C7" s="4" t="str">
        <f>IFERROR(__xludf.DUMMYFUNCTION("""COMPUTED_VALUE"""),"1555 Broadway St 4th Floor, Detroit, MI 48226")</f>
        <v>1555 Broadway St 4th Floor, Detroit, MI 48226</v>
      </c>
      <c r="D7" s="4">
        <f>IFERROR(__xludf.DUMMYFUNCTION("""COMPUTED_VALUE"""),42.3352)</f>
        <v>42.3352</v>
      </c>
      <c r="E7" s="4">
        <f>IFERROR(__xludf.DUMMYFUNCTION("""COMPUTED_VALUE"""),-83.0459)</f>
        <v>-83.0459</v>
      </c>
      <c r="F7" s="4" t="str">
        <f>IFERROR(__xludf.DUMMYFUNCTION("""COMPUTED_VALUE"""),"MI")</f>
        <v>MI</v>
      </c>
      <c r="G7" s="4" t="str">
        <f>IFERROR(__xludf.DUMMYFUNCTION("""COMPUTED_VALUE"""),"VC and Funding")</f>
        <v>VC and Funding</v>
      </c>
      <c r="H7" s="4" t="str">
        <f>IFERROR(__xludf.DUMMYFUNCTION("""COMPUTED_VALUE"""),"Tech, Growth-Stage")</f>
        <v>Tech, Growth-Stage</v>
      </c>
      <c r="I7" s="44" t="str">
        <f>IFERROR(__xludf.DUMMYFUNCTION("""COMPUTED_VALUE"""),"https://www.rbequity.com/")</f>
        <v>https://www.rbequity.com/</v>
      </c>
      <c r="J7" s="4" t="str">
        <f>IFERROR(__xludf.DUMMYFUNCTION("""COMPUTED_VALUE"""),"SukhbirSingh@rbequity.com")</f>
        <v>SukhbirSingh@rbequity.com</v>
      </c>
      <c r="K7" s="4"/>
      <c r="L7" s="4" t="str">
        <f>IFERROR(__xludf.DUMMYFUNCTION("""COMPUTED_VALUE"""),"Sukhbir Singh, Director of Portfolio Resources Group")</f>
        <v>Sukhbir Singh, Director of Portfolio Resources Group</v>
      </c>
      <c r="M7" s="4" t="str">
        <f>IFERROR(__xludf.DUMMYFUNCTION("""COMPUTED_VALUE"""),"Series B, Growth.")</f>
        <v>Series B, Growth.</v>
      </c>
    </row>
    <row r="8">
      <c r="A8" s="4" t="str">
        <f>IFERROR(__xludf.DUMMYFUNCTION("""COMPUTED_VALUE"""),"New Economy Initiative (NEI)")</f>
        <v>New Economy Initiative (NEI)</v>
      </c>
      <c r="B8" s="4" t="str">
        <f>IFERROR(__xludf.DUMMYFUNCTION("""COMPUTED_VALUE"""),"Detroit, MI")</f>
        <v>Detroit, MI</v>
      </c>
      <c r="C8" s="4" t="str">
        <f>IFERROR(__xludf.DUMMYFUNCTION("""COMPUTED_VALUE"""),"333 West Fort Street, Suite 2010, Detroit, MI 48226-3134")</f>
        <v>333 West Fort Street, Suite 2010, Detroit, MI 48226-3134</v>
      </c>
      <c r="D8" s="4">
        <f>IFERROR(__xludf.DUMMYFUNCTION("""COMPUTED_VALUE"""),42.3281)</f>
        <v>42.3281</v>
      </c>
      <c r="E8" s="4">
        <f>IFERROR(__xludf.DUMMYFUNCTION("""COMPUTED_VALUE"""),-83.0497)</f>
        <v>-83.0497</v>
      </c>
      <c r="F8" s="4" t="str">
        <f>IFERROR(__xludf.DUMMYFUNCTION("""COMPUTED_VALUE"""),"MI")</f>
        <v>MI</v>
      </c>
      <c r="G8" s="4" t="str">
        <f>IFERROR(__xludf.DUMMYFUNCTION("""COMPUTED_VALUE"""),"VC and Funding")</f>
        <v>VC and Funding</v>
      </c>
      <c r="H8" s="4" t="str">
        <f>IFERROR(__xludf.DUMMYFUNCTION("""COMPUTED_VALUE"""),"Grants, resources")</f>
        <v>Grants, resources</v>
      </c>
      <c r="I8" s="44" t="str">
        <f>IFERROR(__xludf.DUMMYFUNCTION("""COMPUTED_VALUE"""),"https://neweconomyinitiative.org/")</f>
        <v>https://neweconomyinitiative.org/</v>
      </c>
      <c r="J8" s="4"/>
      <c r="K8" s="4" t="str">
        <f>IFERROR(__xludf.DUMMYFUNCTION("""COMPUTED_VALUE"""),"(313) 961-6675")</f>
        <v>(313) 961-6675</v>
      </c>
      <c r="L8" s="4"/>
      <c r="M8" s="4" t="str">
        <f>IFERROR(__xludf.DUMMYFUNCTION("""COMPUTED_VALUE"""),"Philanthropy-led entrepreneurial development strategy working to build a network of support for entrepreneurs and small businesses in southeast Michigan.")</f>
        <v>Philanthropy-led entrepreneurial development strategy working to build a network of support for entrepreneurs and small businesses in southeast Michigan.</v>
      </c>
    </row>
    <row r="9">
      <c r="A9" s="4" t="str">
        <f>IFERROR(__xludf.DUMMYFUNCTION("""COMPUTED_VALUE"""),"ID Ventures")</f>
        <v>ID Ventures</v>
      </c>
      <c r="B9" s="4" t="str">
        <f>IFERROR(__xludf.DUMMYFUNCTION("""COMPUTED_VALUE"""),"Detroit, MI")</f>
        <v>Detroit, MI</v>
      </c>
      <c r="C9" s="4" t="str">
        <f>IFERROR(__xludf.DUMMYFUNCTION("""COMPUTED_VALUE"""),"4219 Woodward Ave, Suite 300, Detroit, MI 48201")</f>
        <v>4219 Woodward Ave, Suite 300, Detroit, MI 48201</v>
      </c>
      <c r="D9" s="4">
        <f>IFERROR(__xludf.DUMMYFUNCTION("""COMPUTED_VALUE"""),42.3496)</f>
        <v>42.3496</v>
      </c>
      <c r="E9" s="4">
        <f>IFERROR(__xludf.DUMMYFUNCTION("""COMPUTED_VALUE"""),-83.0593)</f>
        <v>-83.0593</v>
      </c>
      <c r="F9" s="4" t="str">
        <f>IFERROR(__xludf.DUMMYFUNCTION("""COMPUTED_VALUE"""),"MI")</f>
        <v>MI</v>
      </c>
      <c r="G9" s="4" t="str">
        <f>IFERROR(__xludf.DUMMYFUNCTION("""COMPUTED_VALUE"""),"VC and Funding")</f>
        <v>VC and Funding</v>
      </c>
      <c r="H9" s="4" t="str">
        <f>IFERROR(__xludf.DUMMYFUNCTION("""COMPUTED_VALUE"""),"Tech, Health, Mobility")</f>
        <v>Tech, Health, Mobility</v>
      </c>
      <c r="I9" s="44" t="str">
        <f>IFERROR(__xludf.DUMMYFUNCTION("""COMPUTED_VALUE"""),"https://idventures.com/")</f>
        <v>https://idventures.com/</v>
      </c>
      <c r="J9" s="4" t="str">
        <f>IFERROR(__xludf.DUMMYFUNCTION("""COMPUTED_VALUE"""),"info@investdetroit.com")</f>
        <v>info@investdetroit.com</v>
      </c>
      <c r="K9" s="4"/>
      <c r="L9" s="4"/>
      <c r="M9" s="4" t="str">
        <f>IFERROR(__xludf.DUMMYFUNCTION("""COMPUTED_VALUE"""),"Seed, Series A; Supports companies with high-growth potential in post-idea stage, seeking funding in the pre-seed to Series A rounds.")</f>
        <v>Seed, Series A; Supports companies with high-growth potential in post-idea stage, seeking funding in the pre-seed to Series A rounds.</v>
      </c>
    </row>
    <row r="10">
      <c r="A10" s="4" t="str">
        <f>IFERROR(__xludf.DUMMYFUNCTION("""COMPUTED_VALUE"""),"Invest Detroit")</f>
        <v>Invest Detroit</v>
      </c>
      <c r="B10" s="4" t="str">
        <f>IFERROR(__xludf.DUMMYFUNCTION("""COMPUTED_VALUE"""),"Detroit, MI")</f>
        <v>Detroit, MI</v>
      </c>
      <c r="C10" s="4" t="str">
        <f>IFERROR(__xludf.DUMMYFUNCTION("""COMPUTED_VALUE"""),"600 Renaissance Center, Suite 1710, Detroit, MI 48243")</f>
        <v>600 Renaissance Center, Suite 1710, Detroit, MI 48243</v>
      </c>
      <c r="D10" s="4">
        <f>IFERROR(__xludf.DUMMYFUNCTION("""COMPUTED_VALUE"""),42.32806)</f>
        <v>42.32806</v>
      </c>
      <c r="E10" s="4">
        <f>IFERROR(__xludf.DUMMYFUNCTION("""COMPUTED_VALUE"""),-83.04083)</f>
        <v>-83.04083</v>
      </c>
      <c r="F10" s="4" t="str">
        <f>IFERROR(__xludf.DUMMYFUNCTION("""COMPUTED_VALUE"""),"MI")</f>
        <v>MI</v>
      </c>
      <c r="G10" s="4" t="str">
        <f>IFERROR(__xludf.DUMMYFUNCTION("""COMPUTED_VALUE"""),"VC and Funding")</f>
        <v>VC and Funding</v>
      </c>
      <c r="H10" s="4" t="str">
        <f>IFERROR(__xludf.DUMMYFUNCTION("""COMPUTED_VALUE"""),"Venture capital, urban redevelopment revitalization")</f>
        <v>Venture capital, urban redevelopment revitalization</v>
      </c>
      <c r="I10" s="44" t="str">
        <f>IFERROR(__xludf.DUMMYFUNCTION("""COMPUTED_VALUE"""),"https://investdetroit.com/")</f>
        <v>https://investdetroit.com/</v>
      </c>
      <c r="J10" s="4" t="str">
        <f>IFERROR(__xludf.DUMMYFUNCTION("""COMPUTED_VALUE"""),"info@investdetroit.com")</f>
        <v>info@investdetroit.com</v>
      </c>
      <c r="K10" s="4" t="str">
        <f>IFERROR(__xludf.DUMMYFUNCTION("""COMPUTED_VALUE"""),"313.259.6368")</f>
        <v>313.259.6368</v>
      </c>
      <c r="L10" s="4"/>
      <c r="M10" s="4" t="str">
        <f>IFERROR(__xludf.DUMMYFUNCTION("""COMPUTED_VALUE"""),"Strengthening neighborhoods, increasing density, growing job opportunities, supporting inclusivity")</f>
        <v>Strengthening neighborhoods, increasing density, growing job opportunities, supporting inclusivity</v>
      </c>
    </row>
    <row r="11">
      <c r="A11" s="4" t="str">
        <f>IFERROR(__xludf.DUMMYFUNCTION("""COMPUTED_VALUE"""),"Fontinalis Partners")</f>
        <v>Fontinalis Partners</v>
      </c>
      <c r="B11" s="4" t="str">
        <f>IFERROR(__xludf.DUMMYFUNCTION("""COMPUTED_VALUE"""),"Detroit, MI")</f>
        <v>Detroit, MI</v>
      </c>
      <c r="C11" s="4" t="str">
        <f>IFERROR(__xludf.DUMMYFUNCTION("""COMPUTED_VALUE"""),"One Woodward Ave, Suite 1600, Detroit, MI 48226")</f>
        <v>One Woodward Ave, Suite 1600, Detroit, MI 48226</v>
      </c>
      <c r="D11" s="4">
        <f>IFERROR(__xludf.DUMMYFUNCTION("""COMPUTED_VALUE"""),42.3289)</f>
        <v>42.3289</v>
      </c>
      <c r="E11" s="4">
        <f>IFERROR(__xludf.DUMMYFUNCTION("""COMPUTED_VALUE"""),-83.0456)</f>
        <v>-83.0456</v>
      </c>
      <c r="F11" s="4" t="str">
        <f>IFERROR(__xludf.DUMMYFUNCTION("""COMPUTED_VALUE"""),"MI")</f>
        <v>MI</v>
      </c>
      <c r="G11" s="4" t="str">
        <f>IFERROR(__xludf.DUMMYFUNCTION("""COMPUTED_VALUE"""),"VC and Funding")</f>
        <v>VC and Funding</v>
      </c>
      <c r="H11" s="4" t="str">
        <f>IFERROR(__xludf.DUMMYFUNCTION("""COMPUTED_VALUE"""),"Mobility, Transportation, Logistics")</f>
        <v>Mobility, Transportation, Logistics</v>
      </c>
      <c r="I11" s="44" t="str">
        <f>IFERROR(__xludf.DUMMYFUNCTION("""COMPUTED_VALUE"""),"https://www.fontinalis.com/")</f>
        <v>https://www.fontinalis.com/</v>
      </c>
      <c r="J11" s="4"/>
      <c r="K11" s="4"/>
      <c r="L11" s="4"/>
      <c r="M11" s="4" t="str">
        <f>IFERROR(__xludf.DUMMYFUNCTION("""COMPUTED_VALUE"""),"Series A, Growth, Mobility Focus Invests in early-stage startups in efficient movement, industrial innovation, and sustainability.")</f>
        <v>Series A, Growth, Mobility Focus Invests in early-stage startups in efficient movement, industrial innovation, and sustainability.</v>
      </c>
    </row>
    <row r="12">
      <c r="A12" s="4" t="str">
        <f>IFERROR(__xludf.DUMMYFUNCTION("""COMPUTED_VALUE"""),"Red Cedar Ventures (Michigan State University)")</f>
        <v>Red Cedar Ventures (Michigan State University)</v>
      </c>
      <c r="B12" s="4" t="str">
        <f>IFERROR(__xludf.DUMMYFUNCTION("""COMPUTED_VALUE"""),"East Lansing, MI")</f>
        <v>East Lansing, MI</v>
      </c>
      <c r="C12" s="4" t="str">
        <f>IFERROR(__xludf.DUMMYFUNCTION("""COMPUTED_VALUE"""),"325 E Grand River Ave, Suite 200, East Lansing, MI 48823")</f>
        <v>325 E Grand River Ave, Suite 200, East Lansing, MI 48823</v>
      </c>
      <c r="D12" s="4">
        <f>IFERROR(__xludf.DUMMYFUNCTION("""COMPUTED_VALUE"""),42.7346)</f>
        <v>42.7346</v>
      </c>
      <c r="E12" s="4">
        <f>IFERROR(__xludf.DUMMYFUNCTION("""COMPUTED_VALUE"""),-84.4808)</f>
        <v>-84.4808</v>
      </c>
      <c r="F12" s="4" t="str">
        <f>IFERROR(__xludf.DUMMYFUNCTION("""COMPUTED_VALUE"""),"MI")</f>
        <v>MI</v>
      </c>
      <c r="G12" s="4" t="str">
        <f>IFERROR(__xludf.DUMMYFUNCTION("""COMPUTED_VALUE"""),"VC and Funding")</f>
        <v>VC and Funding</v>
      </c>
      <c r="H12" s="4" t="str">
        <f>IFERROR(__xludf.DUMMYFUNCTION("""COMPUTED_VALUE"""),"Tech, Early-Stage")</f>
        <v>Tech, Early-Stage</v>
      </c>
      <c r="I12" s="44" t="str">
        <f>IFERROR(__xludf.DUMMYFUNCTION("""COMPUTED_VALUE"""),"https://michiganvca.org/investor/red-cedar-ventures-msu/")</f>
        <v>https://michiganvca.org/investor/red-cedar-ventures-msu/</v>
      </c>
      <c r="J12" s="4"/>
      <c r="K12" s="4" t="str">
        <f>IFERROR(__xludf.DUMMYFUNCTION("""COMPUTED_VALUE"""),"(517) 353-9268")</f>
        <v>(517) 353-9268</v>
      </c>
      <c r="L12" s="4"/>
      <c r="M12" s="4" t="str">
        <f>IFERROR(__xludf.DUMMYFUNCTION("""COMPUTED_VALUE"""),"Seed, Series A; supports startups emerging from Michigan State University.")</f>
        <v>Seed, Series A; supports startups emerging from Michigan State University.</v>
      </c>
    </row>
    <row r="13">
      <c r="A13" s="4" t="str">
        <f>IFERROR(__xludf.DUMMYFUNCTION("""COMPUTED_VALUE"""),"Beringea")</f>
        <v>Beringea</v>
      </c>
      <c r="B13" s="4" t="str">
        <f>IFERROR(__xludf.DUMMYFUNCTION("""COMPUTED_VALUE"""),"Farmington Hills, MI")</f>
        <v>Farmington Hills, MI</v>
      </c>
      <c r="C13" s="4" t="str">
        <f>IFERROR(__xludf.DUMMYFUNCTION("""COMPUTED_VALUE"""),"32330 West 12 Mile Road, Farmington Hills, MI 48334")</f>
        <v>32330 West 12 Mile Road, Farmington Hills, MI 48334</v>
      </c>
      <c r="D13" s="4">
        <f>IFERROR(__xludf.DUMMYFUNCTION("""COMPUTED_VALUE"""),42.5063)</f>
        <v>42.5063</v>
      </c>
      <c r="E13" s="4">
        <f>IFERROR(__xludf.DUMMYFUNCTION("""COMPUTED_VALUE"""),-83.3776)</f>
        <v>-83.3776</v>
      </c>
      <c r="F13" s="4" t="str">
        <f>IFERROR(__xludf.DUMMYFUNCTION("""COMPUTED_VALUE"""),"MI")</f>
        <v>MI</v>
      </c>
      <c r="G13" s="4" t="str">
        <f>IFERROR(__xludf.DUMMYFUNCTION("""COMPUTED_VALUE"""),"VC and Funding")</f>
        <v>VC and Funding</v>
      </c>
      <c r="H13" s="4" t="str">
        <f>IFERROR(__xludf.DUMMYFUNCTION("""COMPUTED_VALUE"""),"Entrepreneurs, scaling, growth")</f>
        <v>Entrepreneurs, scaling, growth</v>
      </c>
      <c r="I13" s="44" t="str">
        <f>IFERROR(__xludf.DUMMYFUNCTION("""COMPUTED_VALUE"""),"https://www.beringea.com/")</f>
        <v>https://www.beringea.com/</v>
      </c>
      <c r="J13" s="4" t="str">
        <f>IFERROR(__xludf.DUMMYFUNCTION("""COMPUTED_VALUE"""),"info@beringea.com")</f>
        <v>info@beringea.com</v>
      </c>
      <c r="K13" s="4">
        <f>IFERROR(__xludf.DUMMYFUNCTION("""COMPUTED_VALUE"""),2.484899E9)</f>
        <v>2484899000</v>
      </c>
      <c r="L13" s="4"/>
      <c r="M13" s="4" t="str">
        <f>IFERROR(__xludf.DUMMYFUNCTION("""COMPUTED_VALUE"""),"Series A, Series B, Growth; transatlantic VC investor")</f>
        <v>Series A, Series B, Growth; transatlantic VC investor</v>
      </c>
    </row>
    <row r="14">
      <c r="A14" s="4" t="str">
        <f>IFERROR(__xludf.DUMMYFUNCTION("""COMPUTED_VALUE"""),"Assembly Ventures")</f>
        <v>Assembly Ventures</v>
      </c>
      <c r="B14" s="4" t="str">
        <f>IFERROR(__xludf.DUMMYFUNCTION("""COMPUTED_VALUE"""),"Detroit, MI")</f>
        <v>Detroit, MI</v>
      </c>
      <c r="C14" s="4" t="str">
        <f>IFERROR(__xludf.DUMMYFUNCTION("""COMPUTED_VALUE"""),"1555 Broadway St, 3rd Floor, Detroit, MI 48226")</f>
        <v>1555 Broadway St, 3rd Floor, Detroit, MI 48226</v>
      </c>
      <c r="D14" s="4">
        <f>IFERROR(__xludf.DUMMYFUNCTION("""COMPUTED_VALUE"""),42.3363112874535)</f>
        <v>42.33631129</v>
      </c>
      <c r="E14" s="4">
        <f>IFERROR(__xludf.DUMMYFUNCTION("""COMPUTED_VALUE"""),-83.0494101186391)</f>
        <v>-83.04941012</v>
      </c>
      <c r="F14" s="4" t="str">
        <f>IFERROR(__xludf.DUMMYFUNCTION("""COMPUTED_VALUE"""),"MI")</f>
        <v>MI</v>
      </c>
      <c r="G14" s="4" t="str">
        <f>IFERROR(__xludf.DUMMYFUNCTION("""COMPUTED_VALUE"""),"VC and Funding")</f>
        <v>VC and Funding</v>
      </c>
      <c r="H14" s="4" t="str">
        <f>IFERROR(__xludf.DUMMYFUNCTION("""COMPUTED_VALUE"""),"Mobility, Transportation")</f>
        <v>Mobility, Transportation</v>
      </c>
      <c r="I14" s="44" t="str">
        <f>IFERROR(__xludf.DUMMYFUNCTION("""COMPUTED_VALUE"""),"https://assemblyventures.com/")</f>
        <v>https://assemblyventures.com/</v>
      </c>
      <c r="J14" s="4" t="str">
        <f>IFERROR(__xludf.DUMMYFUNCTION("""COMPUTED_VALUE"""),"contact@assemblyventures.com")</f>
        <v>contact@assemblyventures.com</v>
      </c>
      <c r="K14" s="4"/>
      <c r="L14" s="4"/>
      <c r="M14" s="4" t="str">
        <f>IFERROR(__xludf.DUMMYFUNCTION("""COMPUTED_VALUE"""),"Seed, Series A, Series B")</f>
        <v>Seed, Series A, Series B</v>
      </c>
    </row>
    <row r="15">
      <c r="A15" s="4" t="str">
        <f>IFERROR(__xludf.DUMMYFUNCTION("""COMPUTED_VALUE"""),"Augment Ventures")</f>
        <v>Augment Ventures</v>
      </c>
      <c r="B15" s="4" t="str">
        <f>IFERROR(__xludf.DUMMYFUNCTION("""COMPUTED_VALUE"""),"Ann Arbor, MI")</f>
        <v>Ann Arbor, MI</v>
      </c>
      <c r="C15" s="4" t="str">
        <f>IFERROR(__xludf.DUMMYFUNCTION("""COMPUTED_VALUE"""),"206 S 4th Ave, Ann Arbor, MI 48104")</f>
        <v>206 S 4th Ave, Ann Arbor, MI 48104</v>
      </c>
      <c r="D15" s="4">
        <f>IFERROR(__xludf.DUMMYFUNCTION("""COMPUTED_VALUE"""),42.2802835771664)</f>
        <v>42.28028358</v>
      </c>
      <c r="E15" s="4">
        <f>IFERROR(__xludf.DUMMYFUNCTION("""COMPUTED_VALUE"""),-83.7475996609704)</f>
        <v>-83.74759966</v>
      </c>
      <c r="F15" s="4" t="str">
        <f>IFERROR(__xludf.DUMMYFUNCTION("""COMPUTED_VALUE"""),"MI")</f>
        <v>MI</v>
      </c>
      <c r="G15" s="4" t="str">
        <f>IFERROR(__xludf.DUMMYFUNCTION("""COMPUTED_VALUE"""),"VC and Funding")</f>
        <v>VC and Funding</v>
      </c>
      <c r="H15" s="4" t="str">
        <f>IFERROR(__xludf.DUMMYFUNCTION("""COMPUTED_VALUE"""),"AI, Tech, Early-Stage, Fintech")</f>
        <v>AI, Tech, Early-Stage, Fintech</v>
      </c>
      <c r="I15" s="44" t="str">
        <f>IFERROR(__xludf.DUMMYFUNCTION("""COMPUTED_VALUE"""),"https://www.augmentventures.com/")</f>
        <v>https://www.augmentventures.com/</v>
      </c>
      <c r="J15" s="4" t="str">
        <f>IFERROR(__xludf.DUMMYFUNCTION("""COMPUTED_VALUE"""),"hello@augmentventures.com")</f>
        <v>hello@augmentventures.com</v>
      </c>
      <c r="K15" s="4"/>
      <c r="L15" s="4"/>
      <c r="M15" s="4" t="str">
        <f>IFERROR(__xludf.DUMMYFUNCTION("""COMPUTED_VALUE"""),"Seed, Series A, Series B. Provides strategy, networks, mentorship, capital.")</f>
        <v>Seed, Series A, Series B. Provides strategy, networks, mentorship, capital.</v>
      </c>
    </row>
    <row r="16">
      <c r="A16" s="4" t="str">
        <f>IFERROR(__xludf.DUMMYFUNCTION("""COMPUTED_VALUE"""),"BELLE Impact Fund")</f>
        <v>BELLE Impact Fund</v>
      </c>
      <c r="B16" s="4" t="str">
        <f>IFERROR(__xludf.DUMMYFUNCTION("""COMPUTED_VALUE"""),"Grosse Pointe Farms, MI")</f>
        <v>Grosse Pointe Farms, MI</v>
      </c>
      <c r="C16" s="4" t="str">
        <f>IFERROR(__xludf.DUMMYFUNCTION("""COMPUTED_VALUE"""),"26 Windermere Pl, Grosse Pointe Farms, MI 48236")</f>
        <v>26 Windermere Pl, Grosse Pointe Farms, MI 48236</v>
      </c>
      <c r="D16" s="4">
        <f>IFERROR(__xludf.DUMMYFUNCTION("""COMPUTED_VALUE"""),42.4137705044993)</f>
        <v>42.4137705</v>
      </c>
      <c r="E16" s="4">
        <f>IFERROR(__xludf.DUMMYFUNCTION("""COMPUTED_VALUE"""),-82.8861309964246)</f>
        <v>-82.886131</v>
      </c>
      <c r="F16" s="4" t="str">
        <f>IFERROR(__xludf.DUMMYFUNCTION("""COMPUTED_VALUE"""),"MI")</f>
        <v>MI</v>
      </c>
      <c r="G16" s="4" t="str">
        <f>IFERROR(__xludf.DUMMYFUNCTION("""COMPUTED_VALUE"""),"VC and Funding")</f>
        <v>VC and Funding</v>
      </c>
      <c r="H16" s="4" t="str">
        <f>IFERROR(__xludf.DUMMYFUNCTION("""COMPUTED_VALUE"""),"Impact Investing, Women-Led Startups")</f>
        <v>Impact Investing, Women-Led Startups</v>
      </c>
      <c r="I16" s="44" t="str">
        <f>IFERROR(__xludf.DUMMYFUNCTION("""COMPUTED_VALUE"""),"https://www.bellefunds.com/")</f>
        <v>https://www.bellefunds.com/</v>
      </c>
      <c r="J16" s="4"/>
      <c r="K16" s="4"/>
      <c r="L16" s="4"/>
      <c r="M16" s="4" t="str">
        <f>IFERROR(__xludf.DUMMYFUNCTION("""COMPUTED_VALUE"""),"Seed, Series A, Series B. Receive access to BELLE's capital and a network of partners to support the success of portfolio companies.")</f>
        <v>Seed, Series A, Series B. Receive access to BELLE's capital and a network of partners to support the success of portfolio companies.</v>
      </c>
    </row>
    <row r="17">
      <c r="A17" s="4" t="str">
        <f>IFERROR(__xludf.DUMMYFUNCTION("""COMPUTED_VALUE"""),"Detroit Venture Partners (DVP)")</f>
        <v>Detroit Venture Partners (DVP)</v>
      </c>
      <c r="B17" s="4" t="str">
        <f>IFERROR(__xludf.DUMMYFUNCTION("""COMPUTED_VALUE"""),"Detroit, MI")</f>
        <v>Detroit, MI</v>
      </c>
      <c r="C17" s="4" t="str">
        <f>IFERROR(__xludf.DUMMYFUNCTION("""COMPUTED_VALUE"""),"1555 Broadway St, 3rd Floor, Detroit, MI 48226-2159")</f>
        <v>1555 Broadway St, 3rd Floor, Detroit, MI 48226-2159</v>
      </c>
      <c r="D17" s="4">
        <f>IFERROR(__xludf.DUMMYFUNCTION("""COMPUTED_VALUE"""),42.3363112874535)</f>
        <v>42.33631129</v>
      </c>
      <c r="E17" s="4">
        <f>IFERROR(__xludf.DUMMYFUNCTION("""COMPUTED_VALUE"""),-85.6792428032635)</f>
        <v>-85.6792428</v>
      </c>
      <c r="F17" s="4" t="str">
        <f>IFERROR(__xludf.DUMMYFUNCTION("""COMPUTED_VALUE"""),"MI")</f>
        <v>MI</v>
      </c>
      <c r="G17" s="4" t="str">
        <f>IFERROR(__xludf.DUMMYFUNCTION("""COMPUTED_VALUE"""),"VC and Funding")</f>
        <v>VC and Funding</v>
      </c>
      <c r="H17" s="4" t="str">
        <f>IFERROR(__xludf.DUMMYFUNCTION("""COMPUTED_VALUE"""),"Venture capital, startups, scaling")</f>
        <v>Venture capital, startups, scaling</v>
      </c>
      <c r="I17" s="44" t="str">
        <f>IFERROR(__xludf.DUMMYFUNCTION("""COMPUTED_VALUE"""),"https://www.detroit.vc/")</f>
        <v>https://www.detroit.vc/</v>
      </c>
      <c r="J17" s="4" t="str">
        <f>IFERROR(__xludf.DUMMYFUNCTION("""COMPUTED_VALUE"""),"info@detroit.vc")</f>
        <v>info@detroit.vc</v>
      </c>
      <c r="K17" s="4"/>
      <c r="L17" s="4"/>
      <c r="M17" s="4" t="str">
        <f>IFERROR(__xludf.DUMMYFUNCTION("""COMPUTED_VALUE"""),"Founded by Dan Gilbert, Rocket Companies Founder and Chairman, with a vision to grow Detroit's entrepreneurial community.")</f>
        <v>Founded by Dan Gilbert, Rocket Companies Founder and Chairman, with a vision to grow Detroit's entrepreneurial community.</v>
      </c>
    </row>
    <row r="18">
      <c r="A18" s="4" t="str">
        <f>IFERROR(__xludf.DUMMYFUNCTION("""COMPUTED_VALUE"""),"Ludlow Ventures")</f>
        <v>Ludlow Ventures</v>
      </c>
      <c r="B18" s="4" t="str">
        <f>IFERROR(__xludf.DUMMYFUNCTION("""COMPUTED_VALUE"""),"Detroit, MI")</f>
        <v>Detroit, MI</v>
      </c>
      <c r="C18" s="4" t="str">
        <f>IFERROR(__xludf.DUMMYFUNCTION("""COMPUTED_VALUE"""),"1555 Broadway St, 3rd Floor, Detroit, MI 48226")</f>
        <v>1555 Broadway St, 3rd Floor, Detroit, MI 48226</v>
      </c>
      <c r="D18" s="4">
        <f>IFERROR(__xludf.DUMMYFUNCTION("""COMPUTED_VALUE"""),42.3363112874535)</f>
        <v>42.33631129</v>
      </c>
      <c r="E18" s="4">
        <f>IFERROR(__xludf.DUMMYFUNCTION("""COMPUTED_VALUE"""),-83.0494101186391)</f>
        <v>-83.04941012</v>
      </c>
      <c r="F18" s="4" t="str">
        <f>IFERROR(__xludf.DUMMYFUNCTION("""COMPUTED_VALUE"""),"MI")</f>
        <v>MI</v>
      </c>
      <c r="G18" s="4" t="str">
        <f>IFERROR(__xludf.DUMMYFUNCTION("""COMPUTED_VALUE"""),"VC and Funding")</f>
        <v>VC and Funding</v>
      </c>
      <c r="H18" s="4" t="str">
        <f>IFERROR(__xludf.DUMMYFUNCTION("""COMPUTED_VALUE"""),"Consumer Tech, SaaS, Web3")</f>
        <v>Consumer Tech, SaaS, Web3</v>
      </c>
      <c r="I18" s="44" t="str">
        <f>IFERROR(__xludf.DUMMYFUNCTION("""COMPUTED_VALUE"""),"https://www.ludlowventures.com/")</f>
        <v>https://www.ludlowventures.com/</v>
      </c>
      <c r="J18" s="4"/>
      <c r="K18" s="4"/>
      <c r="L18" s="4"/>
      <c r="M18" s="4" t="str">
        <f>IFERROR(__xludf.DUMMYFUNCTION("""COMPUTED_VALUE"""),"Seed, Series A, Series B")</f>
        <v>Seed, Series A, Series B</v>
      </c>
    </row>
    <row r="19">
      <c r="A19" s="4" t="str">
        <f>IFERROR(__xludf.DUMMYFUNCTION("""COMPUTED_VALUE"""),"Mercury Fund")</f>
        <v>Mercury Fund</v>
      </c>
      <c r="B19" s="4" t="str">
        <f>IFERROR(__xludf.DUMMYFUNCTION("""COMPUTED_VALUE"""),"Detroit, MI")</f>
        <v>Detroit, MI</v>
      </c>
      <c r="C19" s="4" t="str">
        <f>IFERROR(__xludf.DUMMYFUNCTION("""COMPUTED_VALUE"""),"1420 Washington Blvd, Suite 301, Detroit, MI 48226")</f>
        <v>1420 Washington Blvd, Suite 301, Detroit, MI 48226</v>
      </c>
      <c r="D19" s="4">
        <f>IFERROR(__xludf.DUMMYFUNCTION("""COMPUTED_VALUE"""),42.3341625662209)</f>
        <v>42.33416257</v>
      </c>
      <c r="E19" s="4">
        <f>IFERROR(__xludf.DUMMYFUNCTION("""COMPUTED_VALUE"""),-83.0504957288358)</f>
        <v>-83.05049573</v>
      </c>
      <c r="F19" s="4" t="str">
        <f>IFERROR(__xludf.DUMMYFUNCTION("""COMPUTED_VALUE"""),"MI")</f>
        <v>MI</v>
      </c>
      <c r="G19" s="4" t="str">
        <f>IFERROR(__xludf.DUMMYFUNCTION("""COMPUTED_VALUE"""),"VC and Funding")</f>
        <v>VC and Funding</v>
      </c>
      <c r="H19" s="4" t="str">
        <f>IFERROR(__xludf.DUMMYFUNCTION("""COMPUTED_VALUE"""),"SaaS, Industrial Tech, Data")</f>
        <v>SaaS, Industrial Tech, Data</v>
      </c>
      <c r="I19" s="44" t="str">
        <f>IFERROR(__xludf.DUMMYFUNCTION("""COMPUTED_VALUE"""),"https://www.mercuryfund.com/")</f>
        <v>https://www.mercuryfund.com/</v>
      </c>
      <c r="J19" s="4" t="str">
        <f>IFERROR(__xludf.DUMMYFUNCTION("""COMPUTED_VALUE"""),"info@mercuryfund.com")</f>
        <v>info@mercuryfund.com</v>
      </c>
      <c r="K19" s="4" t="str">
        <f>IFERROR(__xludf.DUMMYFUNCTION("""COMPUTED_VALUE"""),"713.715.6820")</f>
        <v>713.715.6820</v>
      </c>
      <c r="L19" s="4"/>
      <c r="M19" s="4" t="str">
        <f>IFERROR(__xludf.DUMMYFUNCTION("""COMPUTED_VALUE"""),"Seed, Series A.  Seeks out entrepreneurs in the early-stages of product-market fit and/or seeking to scale their startup.")</f>
        <v>Seed, Series A.  Seeks out entrepreneurs in the early-stages of product-market fit and/or seeking to scale their startup.</v>
      </c>
    </row>
    <row r="20">
      <c r="A20" s="4" t="str">
        <f>IFERROR(__xludf.DUMMYFUNCTION("""COMPUTED_VALUE"""),"Michigan Angel Fund")</f>
        <v>Michigan Angel Fund</v>
      </c>
      <c r="B20" s="4" t="str">
        <f>IFERROR(__xludf.DUMMYFUNCTION("""COMPUTED_VALUE"""),"Ann Arbor, MI")</f>
        <v>Ann Arbor, MI</v>
      </c>
      <c r="C20" s="4" t="str">
        <f>IFERROR(__xludf.DUMMYFUNCTION("""COMPUTED_VALUE"""),"201 S Division Street, Suite 430, Ann Arbor, MI 48104")</f>
        <v>201 S Division Street, Suite 430, Ann Arbor, MI 48104</v>
      </c>
      <c r="D20" s="4">
        <f>IFERROR(__xludf.DUMMYFUNCTION("""COMPUTED_VALUE"""),42.2799295365913)</f>
        <v>42.27992954</v>
      </c>
      <c r="E20" s="4">
        <f>IFERROR(__xludf.DUMMYFUNCTION("""COMPUTED_VALUE"""),-83.7436831032988)</f>
        <v>-83.7436831</v>
      </c>
      <c r="F20" s="4" t="str">
        <f>IFERROR(__xludf.DUMMYFUNCTION("""COMPUTED_VALUE"""),"MI")</f>
        <v>MI</v>
      </c>
      <c r="G20" s="4" t="str">
        <f>IFERROR(__xludf.DUMMYFUNCTION("""COMPUTED_VALUE"""),"VC and Funding")</f>
        <v>VC and Funding</v>
      </c>
      <c r="H20" s="4" t="str">
        <f>IFERROR(__xludf.DUMMYFUNCTION("""COMPUTED_VALUE"""),"Tech, Early-Stage")</f>
        <v>Tech, Early-Stage</v>
      </c>
      <c r="I20" s="44" t="str">
        <f>IFERROR(__xludf.DUMMYFUNCTION("""COMPUTED_VALUE"""),"https://www.miangelfund.com/")</f>
        <v>https://www.miangelfund.com/</v>
      </c>
      <c r="J20" s="4"/>
      <c r="K20" s="4"/>
      <c r="L20" s="4"/>
      <c r="M20" s="4" t="str">
        <f>IFERROR(__xludf.DUMMYFUNCTION("""COMPUTED_VALUE"""),"Seed, Angel. Provides funding to capital efficient early stage companies located in Michigan.")</f>
        <v>Seed, Angel. Provides funding to capital efficient early stage companies located in Michigan.</v>
      </c>
    </row>
    <row r="21" ht="15.75" customHeight="1">
      <c r="A21" s="4" t="str">
        <f>IFERROR(__xludf.DUMMYFUNCTION("""COMPUTED_VALUE"""),"Michigan Capital Network")</f>
        <v>Michigan Capital Network</v>
      </c>
      <c r="B21" s="4" t="str">
        <f>IFERROR(__xludf.DUMMYFUNCTION("""COMPUTED_VALUE"""),"Grand Rapids, MI")</f>
        <v>Grand Rapids, MI</v>
      </c>
      <c r="C21" s="4" t="str">
        <f>IFERROR(__xludf.DUMMYFUNCTION("""COMPUTED_VALUE"""),"37 Ottawa Ave NW, Suite 200, Grand Rapids, MI 49503")</f>
        <v>37 Ottawa Ave NW, Suite 200, Grand Rapids, MI 49503</v>
      </c>
      <c r="D21" s="4">
        <f>IFERROR(__xludf.DUMMYFUNCTION("""COMPUTED_VALUE"""),42.964348259868)</f>
        <v>42.96434826</v>
      </c>
      <c r="E21" s="4">
        <f>IFERROR(__xludf.DUMMYFUNCTION("""COMPUTED_VALUE"""),-85.6716014999999)</f>
        <v>-85.6716015</v>
      </c>
      <c r="F21" s="4" t="str">
        <f>IFERROR(__xludf.DUMMYFUNCTION("""COMPUTED_VALUE"""),"MI")</f>
        <v>MI</v>
      </c>
      <c r="G21" s="4" t="str">
        <f>IFERROR(__xludf.DUMMYFUNCTION("""COMPUTED_VALUE"""),"VC and Funding")</f>
        <v>VC and Funding</v>
      </c>
      <c r="H21" s="4" t="str">
        <f>IFERROR(__xludf.DUMMYFUNCTION("""COMPUTED_VALUE"""),"Tech, Early-Stage")</f>
        <v>Tech, Early-Stage</v>
      </c>
      <c r="I21" s="44" t="str">
        <f>IFERROR(__xludf.DUMMYFUNCTION("""COMPUTED_VALUE"""),"https://www.michigancapitalnetwork.com/")</f>
        <v>https://www.michigancapitalnetwork.com/</v>
      </c>
      <c r="J21" s="4" t="str">
        <f>IFERROR(__xludf.DUMMYFUNCTION("""COMPUTED_VALUE"""),"investments@michigancapitalnetwork.com")</f>
        <v>investments@michigancapitalnetwork.com</v>
      </c>
      <c r="K21" s="4" t="str">
        <f>IFERROR(__xludf.DUMMYFUNCTION("""COMPUTED_VALUE"""),"616 - 566 - 1770")</f>
        <v>616 - 566 - 1770</v>
      </c>
      <c r="L21" s="4"/>
      <c r="M21" s="4" t="str">
        <f>IFERROR(__xludf.DUMMYFUNCTION("""COMPUTED_VALUE"""),"Invests in life sciences, advanced manufacturing, advanced agriculture, software &amp; IT.")</f>
        <v>Invests in life sciences, advanced manufacturing, advanced agriculture, software &amp; IT.</v>
      </c>
    </row>
    <row r="22" ht="15.75" customHeight="1">
      <c r="A22" s="4" t="str">
        <f>IFERROR(__xludf.DUMMYFUNCTION("""COMPUTED_VALUE"""),"Golden Triangle Angel Network (GTAN)")</f>
        <v>Golden Triangle Angel Network (GTAN)</v>
      </c>
      <c r="B22" s="4" t="str">
        <f>IFERROR(__xludf.DUMMYFUNCTION("""COMPUTED_VALUE"""),"Kitchener, ON")</f>
        <v>Kitchener, ON</v>
      </c>
      <c r="C22" s="4" t="str">
        <f>IFERROR(__xludf.DUMMYFUNCTION("""COMPUTED_VALUE"""),"210-137 Glasgow St Office 166, Kitchener, ON N2G 4X8")</f>
        <v>210-137 Glasgow St Office 166, Kitchener, ON N2G 4X8</v>
      </c>
      <c r="D22" s="4">
        <f>IFERROR(__xludf.DUMMYFUNCTION("""COMPUTED_VALUE"""),43.45128)</f>
        <v>43.45128</v>
      </c>
      <c r="E22" s="4">
        <f>IFERROR(__xludf.DUMMYFUNCTION("""COMPUTED_VALUE"""),-80.51338)</f>
        <v>-80.51338</v>
      </c>
      <c r="F22" s="4" t="str">
        <f>IFERROR(__xludf.DUMMYFUNCTION("""COMPUTED_VALUE"""),"ON")</f>
        <v>ON</v>
      </c>
      <c r="G22" s="4" t="str">
        <f>IFERROR(__xludf.DUMMYFUNCTION("""COMPUTED_VALUE"""),"VC and Funding")</f>
        <v>VC and Funding</v>
      </c>
      <c r="H22" s="4" t="str">
        <f>IFERROR(__xludf.DUMMYFUNCTION("""COMPUTED_VALUE"""),"Health, Cleantech, ICT")</f>
        <v>Health, Cleantech, ICT</v>
      </c>
      <c r="I22" s="44" t="str">
        <f>IFERROR(__xludf.DUMMYFUNCTION("""COMPUTED_VALUE"""),"https://www.gtan.ca/")</f>
        <v>https://www.gtan.ca/</v>
      </c>
      <c r="J22" s="4" t="str">
        <f>IFERROR(__xludf.DUMMYFUNCTION("""COMPUTED_VALUE"""),"info@gtan.ca")</f>
        <v>info@gtan.ca</v>
      </c>
      <c r="K22" s="4" t="str">
        <f>IFERROR(__xludf.DUMMYFUNCTION("""COMPUTED_VALUE"""),"-")</f>
        <v>-</v>
      </c>
      <c r="L22" s="4"/>
      <c r="M22" s="4" t="str">
        <f>IFERROR(__xludf.DUMMYFUNCTION("""COMPUTED_VALUE"""),"Invests into Canadian Angel, Pre-Seed, Seed, Series A technology companies.")</f>
        <v>Invests into Canadian Angel, Pre-Seed, Seed, Series A technology companies.</v>
      </c>
    </row>
    <row r="23" ht="15.75" customHeight="1">
      <c r="A23" s="4" t="str">
        <f>IFERROR(__xludf.DUMMYFUNCTION("""COMPUTED_VALUE"""),"Foresight Canada (Cleantech Accelerator)")</f>
        <v>Foresight Canada (Cleantech Accelerator)</v>
      </c>
      <c r="B23" s="4" t="str">
        <f>IFERROR(__xludf.DUMMYFUNCTION("""COMPUTED_VALUE"""),"Toronto, ON ")</f>
        <v>Toronto, ON </v>
      </c>
      <c r="C23" s="4" t="str">
        <f>IFERROR(__xludf.DUMMYFUNCTION("""COMPUTED_VALUE"""),"192 Spadina Ave, Suite 201, Toronto, ON M5T 2C2")</f>
        <v>192 Spadina Ave, Suite 201, Toronto, ON M5T 2C2</v>
      </c>
      <c r="D23" s="4">
        <f>IFERROR(__xludf.DUMMYFUNCTION("""COMPUTED_VALUE"""),43.6500614278158)</f>
        <v>43.65006143</v>
      </c>
      <c r="E23" s="4">
        <f>IFERROR(__xludf.DUMMYFUNCTION("""COMPUTED_VALUE"""),-79.3975424032274)</f>
        <v>-79.3975424</v>
      </c>
      <c r="F23" s="4" t="str">
        <f>IFERROR(__xludf.DUMMYFUNCTION("""COMPUTED_VALUE"""),"ON")</f>
        <v>ON</v>
      </c>
      <c r="G23" s="4" t="str">
        <f>IFERROR(__xludf.DUMMYFUNCTION("""COMPUTED_VALUE"""),"VC and Funding")</f>
        <v>VC and Funding</v>
      </c>
      <c r="H23" s="4" t="str">
        <f>IFERROR(__xludf.DUMMYFUNCTION("""COMPUTED_VALUE"""),"Cleantech startup acceleration, funding access, mentoring.")</f>
        <v>Cleantech startup acceleration, funding access, mentoring.</v>
      </c>
      <c r="I23" s="44" t="str">
        <f>IFERROR(__xludf.DUMMYFUNCTION("""COMPUTED_VALUE"""),"https://foresightcac.com/")</f>
        <v>https://foresightcac.com/</v>
      </c>
      <c r="J23" s="4" t="str">
        <f>IFERROR(__xludf.DUMMYFUNCTION("""COMPUTED_VALUE"""),"-")</f>
        <v>-</v>
      </c>
      <c r="K23" s="4" t="str">
        <f>IFERROR(__xludf.DUMMYFUNCTION("""COMPUTED_VALUE"""),"604-245-0042")</f>
        <v>604-245-0042</v>
      </c>
      <c r="L23" s="4"/>
      <c r="M23" s="4" t="str">
        <f>IFERROR(__xludf.DUMMYFUNCTION("""COMPUTED_VALUE"""),"As Canada's largest cleantech innovation and adoption accelerator, we connect public and private sector buyers with market-driven innovation—enhancing productivity, lowering costs, and creating high-quality jobs—powered by Canadian cleantech.")</f>
        <v>As Canada's largest cleantech innovation and adoption accelerator, we connect public and private sector buyers with market-driven innovation—enhancing productivity, lowering costs, and creating high-quality jobs—powered by Canadian cleantech.</v>
      </c>
    </row>
    <row r="24" ht="15.75" customHeight="1">
      <c r="A24" s="4" t="str">
        <f>IFERROR(__xludf.DUMMYFUNCTION("""COMPUTED_VALUE"""),"CyberNorth Ventures")</f>
        <v>CyberNorth Ventures</v>
      </c>
      <c r="B24" s="4" t="str">
        <f>IFERROR(__xludf.DUMMYFUNCTION("""COMPUTED_VALUE"""),"Toronto, ON")</f>
        <v>Toronto, ON</v>
      </c>
      <c r="C24" s="4" t="str">
        <f>IFERROR(__xludf.DUMMYFUNCTION("""COMPUTED_VALUE"""),"365 Bay Street, Suite 400, Toronto, ON M5H 2V1")</f>
        <v>365 Bay Street, Suite 400, Toronto, ON M5H 2V1</v>
      </c>
      <c r="D24" s="4">
        <f>IFERROR(__xludf.DUMMYFUNCTION("""COMPUTED_VALUE"""),43.651)</f>
        <v>43.651</v>
      </c>
      <c r="E24" s="4">
        <f>IFERROR(__xludf.DUMMYFUNCTION("""COMPUTED_VALUE"""),-79.3809)</f>
        <v>-79.3809</v>
      </c>
      <c r="F24" s="4" t="str">
        <f>IFERROR(__xludf.DUMMYFUNCTION("""COMPUTED_VALUE"""),"ON")</f>
        <v>ON</v>
      </c>
      <c r="G24" s="4" t="str">
        <f>IFERROR(__xludf.DUMMYFUNCTION("""COMPUTED_VALUE"""),"VC and Funding")</f>
        <v>VC and Funding</v>
      </c>
      <c r="H24" s="4" t="str">
        <f>IFERROR(__xludf.DUMMYFUNCTION("""COMPUTED_VALUE"""),"Investments")</f>
        <v>Investments</v>
      </c>
      <c r="I24" s="44" t="str">
        <f>IFERROR(__xludf.DUMMYFUNCTION("""COMPUTED_VALUE"""),"https://www.cybernorthventures.com/")</f>
        <v>https://www.cybernorthventures.com/</v>
      </c>
      <c r="J24" s="4" t="str">
        <f>IFERROR(__xludf.DUMMYFUNCTION("""COMPUTED_VALUE"""),"-")</f>
        <v>-</v>
      </c>
      <c r="K24" s="4" t="str">
        <f>IFERROR(__xludf.DUMMYFUNCTION("""COMPUTED_VALUE"""),"-")</f>
        <v>-</v>
      </c>
      <c r="L24" s="4" t="str">
        <f>IFERROR(__xludf.DUMMYFUNCTION("""COMPUTED_VALUE"""),"Unclear if still active. Has a contact form on website.")</f>
        <v>Unclear if still active. Has a contact form on website.</v>
      </c>
      <c r="M24" s="4" t="str">
        <f>IFERROR(__xludf.DUMMYFUNCTION("""COMPUTED_VALUE"""),"Invests in seed stage technology companies focused within industries such as social media, big data, digital healthcare, cloud computing, nano-technology, security and mobile applications. Investments are focused within the Toronto-Waterloo corridor for s"&amp;"olely Canadian companies.")</f>
        <v>Invests in seed stage technology companies focused within industries such as social media, big data, digital healthcare, cloud computing, nano-technology, security and mobile applications. Investments are focused within the Toronto-Waterloo corridor for solely Canadian companies.</v>
      </c>
    </row>
    <row r="25" ht="15.75" customHeight="1">
      <c r="A25" s="4" t="str">
        <f>IFERROR(__xludf.DUMMYFUNCTION("""COMPUTED_VALUE"""),"Windsor Essex Capital Angel Network (WECAN)")</f>
        <v>Windsor Essex Capital Angel Network (WECAN)</v>
      </c>
      <c r="B25" s="4" t="str">
        <f>IFERROR(__xludf.DUMMYFUNCTION("""COMPUTED_VALUE"""),"Windsor, ON")</f>
        <v>Windsor, ON</v>
      </c>
      <c r="C25" s="4" t="str">
        <f>IFERROR(__xludf.DUMMYFUNCTION("""COMPUTED_VALUE"""),"Downtown Windsor Business Accelerator c/o Michelle Teno-Wachter, 966 Homedale Ave, Windsor, ON N8S 2T2")</f>
        <v>Downtown Windsor Business Accelerator c/o Michelle Teno-Wachter, 966 Homedale Ave, Windsor, ON N8S 2T2</v>
      </c>
      <c r="D25" s="4">
        <f>IFERROR(__xludf.DUMMYFUNCTION("""COMPUTED_VALUE"""),42.327760101657)</f>
        <v>42.3277601</v>
      </c>
      <c r="E25" s="4">
        <f>IFERROR(__xludf.DUMMYFUNCTION("""COMPUTED_VALUE"""),-82.9578274834199)</f>
        <v>-82.95782748</v>
      </c>
      <c r="F25" s="4" t="str">
        <f>IFERROR(__xludf.DUMMYFUNCTION("""COMPUTED_VALUE"""),"ON")</f>
        <v>ON</v>
      </c>
      <c r="G25" s="4" t="str">
        <f>IFERROR(__xludf.DUMMYFUNCTION("""COMPUTED_VALUE"""),"VC and Funding")</f>
        <v>VC and Funding</v>
      </c>
      <c r="H25" s="4" t="str">
        <f>IFERROR(__xludf.DUMMYFUNCTION("""COMPUTED_VALUE"""),"General Tech, Medtech, Green Tech")</f>
        <v>General Tech, Medtech, Green Tech</v>
      </c>
      <c r="I25" s="44" t="str">
        <f>IFERROR(__xludf.DUMMYFUNCTION("""COMPUTED_VALUE"""),"https://weangelnetwork.com/")</f>
        <v>https://weangelnetwork.com/</v>
      </c>
      <c r="J25" s="4" t="str">
        <f>IFERROR(__xludf.DUMMYFUNCTION("""COMPUTED_VALUE"""),"info@weangelnetwork.com; cam@weangelnetwork.com")</f>
        <v>info@weangelnetwork.com; cam@weangelnetwork.com</v>
      </c>
      <c r="K25" s="4" t="str">
        <f>IFERROR(__xludf.DUMMYFUNCTION("""COMPUTED_VALUE"""),"705-984-5337")</f>
        <v>705-984-5337</v>
      </c>
      <c r="L25" s="4" t="str">
        <f>IFERROR(__xludf.DUMMYFUNCTION("""COMPUTED_VALUE"""),"Cam Crowder, Interim Executive Director")</f>
        <v>Cam Crowder, Interim Executive Director</v>
      </c>
      <c r="M25" s="4" t="str">
        <f>IFERROR(__xludf.DUMMYFUNCTION("""COMPUTED_VALUE"""),"Seek to invest in companies in which they can take an active interest through mentorship, financial investment and as potential business advisory board members or potential board of director members.")</f>
        <v>Seek to invest in companies in which they can take an active interest through mentorship, financial investment and as potential business advisory board members or potential board of director members.</v>
      </c>
    </row>
    <row r="26" ht="15.75" customHeight="1">
      <c r="A26" s="4" t="str">
        <f>IFERROR(__xludf.DUMMYFUNCTION("""COMPUTED_VALUE"""),"Invest Ontario")</f>
        <v>Invest Ontario</v>
      </c>
      <c r="B26" s="4" t="str">
        <f>IFERROR(__xludf.DUMMYFUNCTION("""COMPUTED_VALUE"""),"Toronto, ON ")</f>
        <v>Toronto, ON </v>
      </c>
      <c r="C26" s="4" t="str">
        <f>IFERROR(__xludf.DUMMYFUNCTION("""COMPUTED_VALUE"""),"250 Yonge Street, 35th floor, Toronto, ON M5B 2L7")</f>
        <v>250 Yonge Street, 35th floor, Toronto, ON M5B 2L7</v>
      </c>
      <c r="D26" s="4">
        <f>IFERROR(__xludf.DUMMYFUNCTION("""COMPUTED_VALUE"""),43.6545988333453)</f>
        <v>43.65459883</v>
      </c>
      <c r="E26" s="4">
        <f>IFERROR(__xludf.DUMMYFUNCTION("""COMPUTED_VALUE"""),-79.3804270474062)</f>
        <v>-79.38042705</v>
      </c>
      <c r="F26" s="4" t="str">
        <f>IFERROR(__xludf.DUMMYFUNCTION("""COMPUTED_VALUE"""),"ON")</f>
        <v>ON</v>
      </c>
      <c r="G26" s="4" t="str">
        <f>IFERROR(__xludf.DUMMYFUNCTION("""COMPUTED_VALUE"""),"VC and Funding")</f>
        <v>VC and Funding</v>
      </c>
      <c r="H26" s="4" t="str">
        <f>IFERROR(__xludf.DUMMYFUNCTION("""COMPUTED_VALUE"""),"Economic development, business investment")</f>
        <v>Economic development, business investment</v>
      </c>
      <c r="I26" s="44" t="str">
        <f>IFERROR(__xludf.DUMMYFUNCTION("""COMPUTED_VALUE"""),"https://www.investontario.ca/")</f>
        <v>https://www.investontario.ca/</v>
      </c>
      <c r="J26" s="4" t="str">
        <f>IFERROR(__xludf.DUMMYFUNCTION("""COMPUTED_VALUE"""),"info@InvestOntario.ca")</f>
        <v>info@InvestOntario.ca</v>
      </c>
      <c r="K26" s="4" t="str">
        <f>IFERROR(__xludf.DUMMYFUNCTION("""COMPUTED_VALUE"""),"416-313-3469")</f>
        <v>416-313-3469</v>
      </c>
      <c r="L26" s="4"/>
      <c r="M26" s="4" t="str">
        <f>IFERROR(__xludf.DUMMYFUNCTION("""COMPUTED_VALUE"""),"Ontario's dedicated investment attraction agency.")</f>
        <v>Ontario's dedicated investment attraction agency.</v>
      </c>
    </row>
    <row r="27" ht="15.75" customHeight="1">
      <c r="A27" s="4" t="str">
        <f>IFERROR(__xludf.DUMMYFUNCTION("""COMPUTED_VALUE"""),"Maple Leaf Angels (Toronto)")</f>
        <v>Maple Leaf Angels (Toronto)</v>
      </c>
      <c r="B27" s="4" t="str">
        <f>IFERROR(__xludf.DUMMYFUNCTION("""COMPUTED_VALUE"""),"Toronto, ON")</f>
        <v>Toronto, ON</v>
      </c>
      <c r="C27" s="4" t="str">
        <f>IFERROR(__xludf.DUMMYFUNCTION("""COMPUTED_VALUE"""),"47 Colborne St, Toronto, ON M5E 1P8")</f>
        <v>47 Colborne St, Toronto, ON M5E 1P8</v>
      </c>
      <c r="D27" s="4">
        <f>IFERROR(__xludf.DUMMYFUNCTION("""COMPUTED_VALUE"""),43.6488986999999)</f>
        <v>43.6488987</v>
      </c>
      <c r="E27" s="4">
        <f>IFERROR(__xludf.DUMMYFUNCTION("""COMPUTED_VALUE"""),-79.3748347288358)</f>
        <v>-79.37483473</v>
      </c>
      <c r="F27" s="4" t="str">
        <f>IFERROR(__xludf.DUMMYFUNCTION("""COMPUTED_VALUE"""),"ON")</f>
        <v>ON</v>
      </c>
      <c r="G27" s="4" t="str">
        <f>IFERROR(__xludf.DUMMYFUNCTION("""COMPUTED_VALUE"""),"VC and Funding")</f>
        <v>VC and Funding</v>
      </c>
      <c r="H27" s="4" t="str">
        <f>IFERROR(__xludf.DUMMYFUNCTION("""COMPUTED_VALUE"""),"Investments, fundings, support, early stage tech")</f>
        <v>Investments, fundings, support, early stage tech</v>
      </c>
      <c r="I27" s="44" t="str">
        <f>IFERROR(__xludf.DUMMYFUNCTION("""COMPUTED_VALUE"""),"https://mapleleafangels.com/")</f>
        <v>https://mapleleafangels.com/</v>
      </c>
      <c r="J27" s="4" t="str">
        <f>IFERROR(__xludf.DUMMYFUNCTION("""COMPUTED_VALUE"""),"info@mapleleafangels.com")</f>
        <v>info@mapleleafangels.com</v>
      </c>
      <c r="K27" s="4" t="str">
        <f>IFERROR(__xludf.DUMMYFUNCTION("""COMPUTED_VALUE"""),"416-646-6235")</f>
        <v>416-646-6235</v>
      </c>
      <c r="L27" s="4"/>
      <c r="M27" s="4" t="str">
        <f>IFERROR(__xludf.DUMMYFUNCTION("""COMPUTED_VALUE"""),"Group of high net worth private individuals who invest in and supoprt seed and early stage technology companies.")</f>
        <v>Group of high net worth private individuals who invest in and supoprt seed and early stage technology companies.</v>
      </c>
    </row>
    <row r="28" ht="15.75" customHeight="1">
      <c r="A28" s="4" t="str">
        <f>IFERROR(__xludf.DUMMYFUNCTION("""COMPUTED_VALUE"""),"BDC Capital")</f>
        <v>BDC Capital</v>
      </c>
      <c r="B28" s="4" t="str">
        <f>IFERROR(__xludf.DUMMYFUNCTION("""COMPUTED_VALUE"""),"Windsor, ON")</f>
        <v>Windsor, ON</v>
      </c>
      <c r="C28" s="4" t="str">
        <f>IFERROR(__xludf.DUMMYFUNCTION("""COMPUTED_VALUE"""),"325 Devonshire Rd, Suite 330, Windsor, ON N8Y 2L3")</f>
        <v>325 Devonshire Rd, Suite 330, Windsor, ON N8Y 2L3</v>
      </c>
      <c r="D28" s="4">
        <f>IFERROR(__xludf.DUMMYFUNCTION("""COMPUTED_VALUE"""),42.3251629034054)</f>
        <v>42.3251629</v>
      </c>
      <c r="E28" s="4">
        <f>IFERROR(__xludf.DUMMYFUNCTION("""COMPUTED_VALUE"""),-83.0137601321323)</f>
        <v>-83.01376013</v>
      </c>
      <c r="F28" s="4" t="str">
        <f>IFERROR(__xludf.DUMMYFUNCTION("""COMPUTED_VALUE"""),"ON")</f>
        <v>ON</v>
      </c>
      <c r="G28" s="4" t="str">
        <f>IFERROR(__xludf.DUMMYFUNCTION("""COMPUTED_VALUE"""),"VC and Funding")</f>
        <v>VC and Funding</v>
      </c>
      <c r="H28" s="4" t="str">
        <f>IFERROR(__xludf.DUMMYFUNCTION("""COMPUTED_VALUE"""),"Venture capital, growth &amp; transition capital, growth equity partners")</f>
        <v>Venture capital, growth &amp; transition capital, growth equity partners</v>
      </c>
      <c r="I28" s="44" t="str">
        <f>IFERROR(__xludf.DUMMYFUNCTION("""COMPUTED_VALUE"""),"https://www.bdc.ca/en/bdc-capital")</f>
        <v>https://www.bdc.ca/en/bdc-capital</v>
      </c>
      <c r="J28" s="4" t="str">
        <f>IFERROR(__xludf.DUMMYFUNCTION("""COMPUTED_VALUE"""),"-")</f>
        <v>-</v>
      </c>
      <c r="K28" s="4" t="str">
        <f>IFERROR(__xludf.DUMMYFUNCTION("""COMPUTED_VALUE"""),"519-257-6811")</f>
        <v>519-257-6811</v>
      </c>
      <c r="L28" s="4"/>
      <c r="M28" s="4" t="str">
        <f>IFERROR(__xludf.DUMMYFUNCTION("""COMPUTED_VALUE"""),"Offers innovative solutions, often with terms and conditions tailored to emet the unique needs of entrepreneurs and innovators looking to raise capital for their growth and transition projects.")</f>
        <v>Offers innovative solutions, often with terms and conditions tailored to emet the unique needs of entrepreneurs and innovators looking to raise capital for their growth and transition projects.</v>
      </c>
    </row>
    <row r="29" ht="15.75" customHeight="1">
      <c r="A29" s="4" t="str">
        <f>IFERROR(__xludf.DUMMYFUNCTION("""COMPUTED_VALUE"""),"AngelOne Investor Network")</f>
        <v>AngelOne Investor Network</v>
      </c>
      <c r="B29" s="4" t="str">
        <f>IFERROR(__xludf.DUMMYFUNCTION("""COMPUTED_VALUE"""),"Burlington, ON")</f>
        <v>Burlington, ON</v>
      </c>
      <c r="C29" s="4" t="str">
        <f>IFERROR(__xludf.DUMMYFUNCTION("""COMPUTED_VALUE"""),"801-5500 North Service Road, Burlington, ON L7L 6W6")</f>
        <v>801-5500 North Service Road, Burlington, ON L7L 6W6</v>
      </c>
      <c r="D29" s="4">
        <f>IFERROR(__xludf.DUMMYFUNCTION("""COMPUTED_VALUE"""),43.3959)</f>
        <v>43.3959</v>
      </c>
      <c r="E29" s="4">
        <f>IFERROR(__xludf.DUMMYFUNCTION("""COMPUTED_VALUE"""),-79.7613)</f>
        <v>-79.7613</v>
      </c>
      <c r="F29" s="4" t="str">
        <f>IFERROR(__xludf.DUMMYFUNCTION("""COMPUTED_VALUE"""),"ON")</f>
        <v>ON</v>
      </c>
      <c r="G29" s="4" t="str">
        <f>IFERROR(__xludf.DUMMYFUNCTION("""COMPUTED_VALUE"""),"VC and Funding")</f>
        <v>VC and Funding</v>
      </c>
      <c r="H29" s="4" t="str">
        <f>IFERROR(__xludf.DUMMYFUNCTION("""COMPUTED_VALUE"""),"Early-Stage Startups, Tech Commercialization")</f>
        <v>Early-Stage Startups, Tech Commercialization</v>
      </c>
      <c r="I29" s="44" t="str">
        <f>IFERROR(__xludf.DUMMYFUNCTION("""COMPUTED_VALUE"""),"https://www.angelonenetwork.ca/")</f>
        <v>https://www.angelonenetwork.ca/</v>
      </c>
      <c r="J29" s="4" t="str">
        <f>IFERROR(__xludf.DUMMYFUNCTION("""COMPUTED_VALUE"""),"hello@angelonenetwork.ca")</f>
        <v>hello@angelonenetwork.ca</v>
      </c>
      <c r="K29" s="4" t="str">
        <f>IFERROR(__xludf.DUMMYFUNCTION("""COMPUTED_VALUE"""),"-")</f>
        <v>-</v>
      </c>
      <c r="L29" s="4"/>
      <c r="M29" s="4" t="str">
        <f>IFERROR(__xludf.DUMMYFUNCTION("""COMPUTED_VALUE"""),"Connects angel investors with startups. Member based, not-for-profit organization. Serves Toronto, Mississauga, Oakville, Burlington, Hamilton, and surrounding areas.")</f>
        <v>Connects angel investors with startups. Member based, not-for-profit organization. Serves Toronto, Mississauga, Oakville, Burlington, Hamilton, and surrounding areas.</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s>
  <printOptions/>
  <pageMargins bottom="0.75" footer="0.0" header="0.0" left="0.7" right="0.7" top="0.75"/>
  <pageSetup orientation="landscape"/>
  <drawing r:id="rId2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4" t="str">
        <f>IFERROR(__xludf.DUMMYFUNCTION("VSTACK('Asset Map - v2'!A1:M1, FILTER('Asset Map - v2'!A:M, 'Asset Map - v2'!G:G=""Innovation Hub / Coworking Space""))"),"Organization Name")</f>
        <v>Organization Name</v>
      </c>
      <c r="B1" s="4" t="str">
        <f>IFERROR(__xludf.DUMMYFUNCTION("""COMPUTED_VALUE"""),"City")</f>
        <v>City</v>
      </c>
      <c r="C1" s="4" t="str">
        <f>IFERROR(__xludf.DUMMYFUNCTION("""COMPUTED_VALUE"""),"Address")</f>
        <v>Address</v>
      </c>
      <c r="D1" s="4" t="str">
        <f>IFERROR(__xludf.DUMMYFUNCTION("""COMPUTED_VALUE"""),"Latitude")</f>
        <v>Latitude</v>
      </c>
      <c r="E1" s="4" t="str">
        <f>IFERROR(__xludf.DUMMYFUNCTION("""COMPUTED_VALUE"""),"Longitude")</f>
        <v>Longitude</v>
      </c>
      <c r="F1" s="4" t="str">
        <f>IFERROR(__xludf.DUMMYFUNCTION("""COMPUTED_VALUE"""),"Province/State")</f>
        <v>Province/State</v>
      </c>
      <c r="G1" s="4" t="str">
        <f>IFERROR(__xludf.DUMMYFUNCTION("""COMPUTED_VALUE"""),"Sector/Type")</f>
        <v>Sector/Type</v>
      </c>
      <c r="H1" s="4" t="str">
        <f>IFERROR(__xludf.DUMMYFUNCTION("""COMPUTED_VALUE"""),"Services Offered")</f>
        <v>Services Offered</v>
      </c>
      <c r="I1" s="4" t="str">
        <f>IFERROR(__xludf.DUMMYFUNCTION("""COMPUTED_VALUE"""),"Website")</f>
        <v>Website</v>
      </c>
      <c r="J1" s="4" t="str">
        <f>IFERROR(__xludf.DUMMYFUNCTION("""COMPUTED_VALUE"""),"Email Address")</f>
        <v>Email Address</v>
      </c>
      <c r="K1" s="4" t="str">
        <f>IFERROR(__xludf.DUMMYFUNCTION("""COMPUTED_VALUE"""),"Phone Number")</f>
        <v>Phone Number</v>
      </c>
      <c r="L1" s="4" t="str">
        <f>IFERROR(__xludf.DUMMYFUNCTION("""COMPUTED_VALUE"""),"Contact Name")</f>
        <v>Contact Name</v>
      </c>
      <c r="M1" s="4" t="str">
        <f>IFERROR(__xludf.DUMMYFUNCTION("""COMPUTED_VALUE"""),"Notes")</f>
        <v>Notes</v>
      </c>
    </row>
    <row r="2">
      <c r="A2" s="4" t="str">
        <f>IFERROR(__xludf.DUMMYFUNCTION("""COMPUTED_VALUE"""),"The Ferris Wheel")</f>
        <v>The Ferris Wheel</v>
      </c>
      <c r="B2" s="4" t="str">
        <f>IFERROR(__xludf.DUMMYFUNCTION("""COMPUTED_VALUE"""),"Flint, MI")</f>
        <v>Flint, MI</v>
      </c>
      <c r="C2" s="4" t="str">
        <f>IFERROR(__xludf.DUMMYFUNCTION("""COMPUTED_VALUE"""),"615 Saginaw St, Flint, MI 48502")</f>
        <v>615 Saginaw St, Flint, MI 48502</v>
      </c>
      <c r="D2" s="4">
        <f>IFERROR(__xludf.DUMMYFUNCTION("""COMPUTED_VALUE"""),43.0148)</f>
        <v>43.0148</v>
      </c>
      <c r="E2" s="4">
        <f>IFERROR(__xludf.DUMMYFUNCTION("""COMPUTED_VALUE"""),-83.6893)</f>
        <v>-83.6893</v>
      </c>
      <c r="F2" s="4" t="str">
        <f>IFERROR(__xludf.DUMMYFUNCTION("""COMPUTED_VALUE"""),"MI")</f>
        <v>MI</v>
      </c>
      <c r="G2" s="4" t="str">
        <f>IFERROR(__xludf.DUMMYFUNCTION("""COMPUTED_VALUE"""),"Innovation Hub / Coworking Space")</f>
        <v>Innovation Hub / Coworking Space</v>
      </c>
      <c r="H2" s="4" t="str">
        <f>IFERROR(__xludf.DUMMYFUNCTION("""COMPUTED_VALUE"""),"Office space, conference rooms, phones, wifi, printers")</f>
        <v>Office space, conference rooms, phones, wifi, printers</v>
      </c>
      <c r="I2" s="44" t="str">
        <f>IFERROR(__xludf.DUMMYFUNCTION("""COMPUTED_VALUE"""),"https://www.ferriswheelflint.com/")</f>
        <v>https://www.ferriswheelflint.com/</v>
      </c>
      <c r="J2" s="4" t="str">
        <f>IFERROR(__xludf.DUMMYFUNCTION("""COMPUTED_VALUE"""),"hey@ferriswheelflint.com")</f>
        <v>hey@ferriswheelflint.com</v>
      </c>
      <c r="K2" s="4" t="str">
        <f>IFERROR(__xludf.DUMMYFUNCTION("""COMPUTED_VALUE"""),"810-213-4710")</f>
        <v>810-213-4710</v>
      </c>
      <c r="L2" s="4"/>
      <c r="M2" s="4" t="str">
        <f>IFERROR(__xludf.DUMMYFUNCTION("""COMPUTED_VALUE"""),"Provides space for entrepreneurs in search for coworking spaces, engineers ready to collaborate, and connections to inspiring innovators.")</f>
        <v>Provides space for entrepreneurs in search for coworking spaces, engineers ready to collaborate, and connections to inspiring innovators.</v>
      </c>
    </row>
    <row r="3">
      <c r="A3" s="4" t="str">
        <f>IFERROR(__xludf.DUMMYFUNCTION("""COMPUTED_VALUE"""),"Midwest House")</f>
        <v>Midwest House</v>
      </c>
      <c r="B3" s="4" t="str">
        <f>IFERROR(__xludf.DUMMYFUNCTION("""COMPUTED_VALUE"""),"Grand Rapids, MI")</f>
        <v>Grand Rapids, MI</v>
      </c>
      <c r="C3" s="4" t="str">
        <f>IFERROR(__xludf.DUMMYFUNCTION("""COMPUTED_VALUE"""),"40 Pearl St NW, Grand Rapids, MI 49503")</f>
        <v>40 Pearl St NW, Grand Rapids, MI 49503</v>
      </c>
      <c r="D3" s="4">
        <f>IFERROR(__xludf.DUMMYFUNCTION("""COMPUTED_VALUE"""),42.966343840406)</f>
        <v>42.96634384</v>
      </c>
      <c r="E3" s="4">
        <f>IFERROR(__xludf.DUMMYFUNCTION("""COMPUTED_VALUE"""),-85.6698835073698)</f>
        <v>-85.66988351</v>
      </c>
      <c r="F3" s="4" t="str">
        <f>IFERROR(__xludf.DUMMYFUNCTION("""COMPUTED_VALUE"""),"MI")</f>
        <v>MI</v>
      </c>
      <c r="G3" s="4" t="str">
        <f>IFERROR(__xludf.DUMMYFUNCTION("""COMPUTED_VALUE"""),"Innovation Hub / Coworking Space")</f>
        <v>Innovation Hub / Coworking Space</v>
      </c>
      <c r="H3" s="4" t="str">
        <f>IFERROR(__xludf.DUMMYFUNCTION("""COMPUTED_VALUE"""),"Business innovation, culture, creative industries")</f>
        <v>Business innovation, culture, creative industries</v>
      </c>
      <c r="I3" s="44" t="str">
        <f>IFERROR(__xludf.DUMMYFUNCTION("""COMPUTED_VALUE"""),"https://www.midwesthouse.org/")</f>
        <v>https://www.midwesthouse.org/</v>
      </c>
      <c r="J3" s="4"/>
      <c r="K3" s="4"/>
      <c r="L3" s="4"/>
      <c r="M3" s="4" t="str">
        <f>IFERROR(__xludf.DUMMYFUNCTION("""COMPUTED_VALUE"""),"Global showcase of talent and innovative thinking, as well as networking. Year-round events for innovators and creatives.")</f>
        <v>Global showcase of talent and innovative thinking, as well as networking. Year-round events for innovators and creatives.</v>
      </c>
    </row>
    <row r="4">
      <c r="A4" s="4" t="str">
        <f>IFERROR(__xludf.DUMMYFUNCTION("""COMPUTED_VALUE"""),"TechPlace")</f>
        <v>TechPlace</v>
      </c>
      <c r="B4" s="4" t="str">
        <f>IFERROR(__xludf.DUMMYFUNCTION("""COMPUTED_VALUE"""),"Burlington, ON")</f>
        <v>Burlington, ON</v>
      </c>
      <c r="C4" s="4" t="str">
        <f>IFERROR(__xludf.DUMMYFUNCTION("""COMPUTED_VALUE"""),"5500 North Service Rd, Burlington, ON L7L 6W6")</f>
        <v>5500 North Service Rd, Burlington, ON L7L 6W6</v>
      </c>
      <c r="D4" s="4">
        <f>IFERROR(__xludf.DUMMYFUNCTION("""COMPUTED_VALUE"""),43.39599)</f>
        <v>43.39599</v>
      </c>
      <c r="E4" s="4">
        <f>IFERROR(__xludf.DUMMYFUNCTION("""COMPUTED_VALUE"""),-79.76131)</f>
        <v>-79.76131</v>
      </c>
      <c r="F4" s="4" t="str">
        <f>IFERROR(__xludf.DUMMYFUNCTION("""COMPUTED_VALUE"""),"ON")</f>
        <v>ON</v>
      </c>
      <c r="G4" s="4" t="str">
        <f>IFERROR(__xludf.DUMMYFUNCTION("""COMPUTED_VALUE"""),"Innovation Hub / Coworking Space")</f>
        <v>Innovation Hub / Coworking Space</v>
      </c>
      <c r="H4" s="4" t="str">
        <f>IFERROR(__xludf.DUMMYFUNCTION("""COMPUTED_VALUE"""),"Workspace, events, innovation support")</f>
        <v>Workspace, events, innovation support</v>
      </c>
      <c r="I4" s="44" t="str">
        <f>IFERROR(__xludf.DUMMYFUNCTION("""COMPUTED_VALUE"""),"https://www.techplace.ca/")</f>
        <v>https://www.techplace.ca/</v>
      </c>
      <c r="J4" s="4" t="str">
        <f>IFERROR(__xludf.DUMMYFUNCTION("""COMPUTED_VALUE"""),"info@techplace.ca")</f>
        <v>info@techplace.ca</v>
      </c>
      <c r="K4" s="4" t="str">
        <f>IFERROR(__xludf.DUMMYFUNCTION("""COMPUTED_VALUE"""),"289-337-5505")</f>
        <v>289-337-5505</v>
      </c>
      <c r="L4" s="4"/>
      <c r="M4" s="4" t="str">
        <f>IFERROR(__xludf.DUMMYFUNCTION("""COMPUTED_VALUE"""),"An initiative of Burlington Economic Development and Tourism, TechPlace provides everything startups need to grow in one place.")</f>
        <v>An initiative of Burlington Economic Development and Tourism, TechPlace provides everything startups need to grow in one place.</v>
      </c>
    </row>
    <row r="5">
      <c r="A5" s="4" t="str">
        <f>IFERROR(__xludf.DUMMYFUNCTION("""COMPUTED_VALUE"""),"Launch Lab")</f>
        <v>Launch Lab</v>
      </c>
      <c r="B5" s="4" t="str">
        <f>IFERROR(__xludf.DUMMYFUNCTION("""COMPUTED_VALUE"""),"Kingston, ON")</f>
        <v>Kingston, ON</v>
      </c>
      <c r="C5" s="4" t="str">
        <f>IFERROR(__xludf.DUMMYFUNCTION("""COMPUTED_VALUE"""),"945 Princess St Suite 1101, Kingston, ON K7L 0E9")</f>
        <v>945 Princess St Suite 1101, Kingston, ON K7L 0E9</v>
      </c>
      <c r="D5" s="4">
        <f>IFERROR(__xludf.DUMMYFUNCTION("""COMPUTED_VALUE"""),44.2435)</f>
        <v>44.2435</v>
      </c>
      <c r="E5" s="4">
        <f>IFERROR(__xludf.DUMMYFUNCTION("""COMPUTED_VALUE"""),-76.5113)</f>
        <v>-76.5113</v>
      </c>
      <c r="F5" s="4" t="str">
        <f>IFERROR(__xludf.DUMMYFUNCTION("""COMPUTED_VALUE"""),"ON")</f>
        <v>ON</v>
      </c>
      <c r="G5" s="4" t="str">
        <f>IFERROR(__xludf.DUMMYFUNCTION("""COMPUTED_VALUE"""),"Innovation Hub / Coworking Space")</f>
        <v>Innovation Hub / Coworking Space</v>
      </c>
      <c r="H5" s="4" t="str">
        <f>IFERROR(__xludf.DUMMYFUNCTION("""COMPUTED_VALUE"""),"Business advisory, investment readiness, mentorship")</f>
        <v>Business advisory, investment readiness, mentorship</v>
      </c>
      <c r="I5" s="44" t="str">
        <f>IFERROR(__xludf.DUMMYFUNCTION("""COMPUTED_VALUE"""),"https://www.launchlab.ca/")</f>
        <v>https://www.launchlab.ca/</v>
      </c>
      <c r="J5" s="4" t="str">
        <f>IFERROR(__xludf.DUMMYFUNCTION("""COMPUTED_VALUE"""),"garrett.eilliott@launchlab.ca")</f>
        <v>garrett.eilliott@launchlab.ca</v>
      </c>
      <c r="K5" s="4" t="str">
        <f>IFERROR(__xludf.DUMMYFUNCTION("""COMPUTED_VALUE"""),"343-276-0023")</f>
        <v>343-276-0023</v>
      </c>
      <c r="L5" s="4" t="str">
        <f>IFERROR(__xludf.DUMMYFUNCTION("""COMPUTED_VALUE"""),"Garrett Elliott, General Manager")</f>
        <v>Garrett Elliott, General Manager</v>
      </c>
      <c r="M5" s="4" t="str">
        <f>IFERROR(__xludf.DUMMYFUNCTION("""COMPUTED_VALUE"""),"Eastern Ontario focus. Help companies find success through innovation.")</f>
        <v>Eastern Ontario focus. Help companies find success through innovation.</v>
      </c>
    </row>
    <row r="6">
      <c r="A6" s="4" t="str">
        <f>IFERROR(__xludf.DUMMYFUNCTION("""COMPUTED_VALUE"""),"Medical Innovation Xchange (MIX)")</f>
        <v>Medical Innovation Xchange (MIX)</v>
      </c>
      <c r="B6" s="4" t="str">
        <f>IFERROR(__xludf.DUMMYFUNCTION("""COMPUTED_VALUE"""),"Kitchener, ON")</f>
        <v>Kitchener, ON</v>
      </c>
      <c r="C6" s="4" t="str">
        <f>IFERROR(__xludf.DUMMYFUNCTION("""COMPUTED_VALUE"""),"809 Wellington Street North, Unit 2, Kitchener, ON N2H 5L6")</f>
        <v>809 Wellington Street North, Unit 2, Kitchener, ON N2H 5L6</v>
      </c>
      <c r="D6" s="4">
        <f>IFERROR(__xludf.DUMMYFUNCTION("""COMPUTED_VALUE"""),43.4628)</f>
        <v>43.4628</v>
      </c>
      <c r="E6" s="4">
        <f>IFERROR(__xludf.DUMMYFUNCTION("""COMPUTED_VALUE"""),-80.4756)</f>
        <v>-80.4756</v>
      </c>
      <c r="F6" s="4" t="str">
        <f>IFERROR(__xludf.DUMMYFUNCTION("""COMPUTED_VALUE"""),"ON")</f>
        <v>ON</v>
      </c>
      <c r="G6" s="4" t="str">
        <f>IFERROR(__xludf.DUMMYFUNCTION("""COMPUTED_VALUE"""),"Innovation Hub / Coworking Space")</f>
        <v>Innovation Hub / Coworking Space</v>
      </c>
      <c r="H6" s="4" t="str">
        <f>IFERROR(__xludf.DUMMYFUNCTION("""COMPUTED_VALUE"""),"Medtech support, scale-up mentorship.")</f>
        <v>Medtech support, scale-up mentorship.</v>
      </c>
      <c r="I6" s="44" t="str">
        <f>IFERROR(__xludf.DUMMYFUNCTION("""COMPUTED_VALUE"""),"https://medicalinnovationxchange.com/")</f>
        <v>https://medicalinnovationxchange.com/</v>
      </c>
      <c r="J6" s="4" t="str">
        <f>IFERROR(__xludf.DUMMYFUNCTION("""COMPUTED_VALUE"""),"info@medicalinnovationxchange.com")</f>
        <v>info@medicalinnovationxchange.com</v>
      </c>
      <c r="K6" s="4" t="str">
        <f>IFERROR(__xludf.DUMMYFUNCTION("""COMPUTED_VALUE"""),"-")</f>
        <v>-</v>
      </c>
      <c r="L6" s="4"/>
      <c r="M6" s="4" t="str">
        <f>IFERROR(__xludf.DUMMYFUNCTION("""COMPUTED_VALUE"""),"MIX is a network of like-minded, Canadian medical and health technology companies who share the same vision and purpose; to grow their business in their own backyard, support patients and clinicians with truly innovative solutions and pay-it-forward by he"&amp;"lping other medtech companies grow and succeed.")</f>
        <v>MIX is a network of like-minded, Canadian medical and health technology companies who share the same vision and purpose; to grow their business in their own backyard, support patients and clinicians with truly innovative solutions and pay-it-forward by helping other medtech companies grow and succeed.</v>
      </c>
    </row>
    <row r="7">
      <c r="A7" s="4" t="str">
        <f>IFERROR(__xludf.DUMMYFUNCTION("""COMPUTED_VALUE"""),"Northern Centre for Advanced Technology (NORCAT)")</f>
        <v>Northern Centre for Advanced Technology (NORCAT)</v>
      </c>
      <c r="B7" s="4" t="str">
        <f>IFERROR(__xludf.DUMMYFUNCTION("""COMPUTED_VALUE"""),"Mississauga, ON")</f>
        <v>Mississauga, ON</v>
      </c>
      <c r="C7" s="4" t="str">
        <f>IFERROR(__xludf.DUMMYFUNCTION("""COMPUTED_VALUE"""),"151 Superior Blvd. Unit 8-10, Mississauga, ON L5T 2L1")</f>
        <v>151 Superior Blvd. Unit 8-10, Mississauga, ON L5T 2L1</v>
      </c>
      <c r="D7" s="4">
        <f>IFERROR(__xludf.DUMMYFUNCTION("""COMPUTED_VALUE"""),43.6442)</f>
        <v>43.6442</v>
      </c>
      <c r="E7" s="4">
        <f>IFERROR(__xludf.DUMMYFUNCTION("""COMPUTED_VALUE"""),-79.6973)</f>
        <v>-79.6973</v>
      </c>
      <c r="F7" s="4" t="str">
        <f>IFERROR(__xludf.DUMMYFUNCTION("""COMPUTED_VALUE"""),"ON")</f>
        <v>ON</v>
      </c>
      <c r="G7" s="4" t="str">
        <f>IFERROR(__xludf.DUMMYFUNCTION("""COMPUTED_VALUE"""),"Innovation Hub / Coworking Space")</f>
        <v>Innovation Hub / Coworking Space</v>
      </c>
      <c r="H7" s="4" t="str">
        <f>IFERROR(__xludf.DUMMYFUNCTION("""COMPUTED_VALUE"""),"Startup support, skills training, testing lab")</f>
        <v>Startup support, skills training, testing lab</v>
      </c>
      <c r="I7" s="44" t="str">
        <f>IFERROR(__xludf.DUMMYFUNCTION("""COMPUTED_VALUE"""),"https://www.norcat.org/innovation/")</f>
        <v>https://www.norcat.org/innovation/</v>
      </c>
      <c r="J7" s="4" t="str">
        <f>IFERROR(__xludf.DUMMYFUNCTION("""COMPUTED_VALUE"""),"gta@norcat.org")</f>
        <v>gta@norcat.org</v>
      </c>
      <c r="K7" s="4" t="str">
        <f>IFERROR(__xludf.DUMMYFUNCTION("""COMPUTED_VALUE"""),"647-317-0915")</f>
        <v>647-317-0915</v>
      </c>
      <c r="L7" s="4"/>
      <c r="M7" s="4" t="str">
        <f>IFERROR(__xludf.DUMMYFUNCTION("""COMPUTED_VALUE"""),"Sudbury's Regional Innovation Centre focused on supporting early-stage tech startups and the people founding them. Provides access to key resources and connections.")</f>
        <v>Sudbury's Regional Innovation Centre focused on supporting early-stage tech startups and the people founding them. Provides access to key resources and connections.</v>
      </c>
    </row>
    <row r="8">
      <c r="A8" s="4" t="str">
        <f>IFERROR(__xludf.DUMMYFUNCTION("""COMPUTED_VALUE"""),"Niagara Falls Innovation Hub")</f>
        <v>Niagara Falls Innovation Hub</v>
      </c>
      <c r="B8" s="4" t="str">
        <f>IFERROR(__xludf.DUMMYFUNCTION("""COMPUTED_VALUE"""),"Niagara Falls, ON")</f>
        <v>Niagara Falls, ON</v>
      </c>
      <c r="C8" s="4" t="str">
        <f>IFERROR(__xludf.DUMMYFUNCTION("""COMPUTED_VALUE"""),"4551 Zimmerman Ave, Niagara Falls, ON L2E 3M5")</f>
        <v>4551 Zimmerman Ave, Niagara Falls, ON L2E 3M5</v>
      </c>
      <c r="D8" s="4">
        <f>IFERROR(__xludf.DUMMYFUNCTION("""COMPUTED_VALUE"""),43.1223)</f>
        <v>43.1223</v>
      </c>
      <c r="E8" s="4">
        <f>IFERROR(__xludf.DUMMYFUNCTION("""COMPUTED_VALUE"""),-79.0617)</f>
        <v>-79.0617</v>
      </c>
      <c r="F8" s="4" t="str">
        <f>IFERROR(__xludf.DUMMYFUNCTION("""COMPUTED_VALUE"""),"ON")</f>
        <v>ON</v>
      </c>
      <c r="G8" s="4" t="str">
        <f>IFERROR(__xludf.DUMMYFUNCTION("""COMPUTED_VALUE"""),"Innovation Hub / Coworking Space")</f>
        <v>Innovation Hub / Coworking Space</v>
      </c>
      <c r="H8" s="4" t="str">
        <f>IFERROR(__xludf.DUMMYFUNCTION("""COMPUTED_VALUE"""),"Startups, coworking, business programs")</f>
        <v>Startups, coworking, business programs</v>
      </c>
      <c r="I8" s="44" t="str">
        <f>IFERROR(__xludf.DUMMYFUNCTION("""COMPUTED_VALUE"""),"https://nfinnovationhub.ca/")</f>
        <v>https://nfinnovationhub.ca/</v>
      </c>
      <c r="J8" s="4" t="str">
        <f>IFERROR(__xludf.DUMMYFUNCTION("""COMPUTED_VALUE"""),"dbordenave@nfinnovationhub.ca")</f>
        <v>dbordenave@nfinnovationhub.ca</v>
      </c>
      <c r="K8" s="4" t="str">
        <f>IFERROR(__xludf.DUMMYFUNCTION("""COMPUTED_VALUE"""),"289-650-1770")</f>
        <v>289-650-1770</v>
      </c>
      <c r="L8" s="4" t="str">
        <f>IFERROR(__xludf.DUMMYFUNCTION("""COMPUTED_VALUE"""),"Dan Bordenave, CEO")</f>
        <v>Dan Bordenave, CEO</v>
      </c>
      <c r="M8" s="4" t="str">
        <f>IFERROR(__xludf.DUMMYFUNCTION("""COMPUTED_VALUE"""),"Empowers Niagara's entrepreneurs to build successful, scalable businesses through expert coaching, cutting-edge resources, and a vibrant comunity.")</f>
        <v>Empowers Niagara's entrepreneurs to build successful, scalable businesses through expert coaching, cutting-edge resources, and a vibrant comunity.</v>
      </c>
    </row>
    <row r="9">
      <c r="A9" s="4" t="str">
        <f>IFERROR(__xludf.DUMMYFUNCTION("""COMPUTED_VALUE"""),"Bioindustrial Innovation Canada (BIC)")</f>
        <v>Bioindustrial Innovation Canada (BIC)</v>
      </c>
      <c r="B9" s="4" t="str">
        <f>IFERROR(__xludf.DUMMYFUNCTION("""COMPUTED_VALUE"""),"Sarnia, ON")</f>
        <v>Sarnia, ON</v>
      </c>
      <c r="C9" s="4" t="str">
        <f>IFERROR(__xludf.DUMMYFUNCTION("""COMPUTED_VALUE"""),"1086 Modeland Road, Sarnia, ON N7S 6L2")</f>
        <v>1086 Modeland Road, Sarnia, ON N7S 6L2</v>
      </c>
      <c r="D9" s="4">
        <f>IFERROR(__xludf.DUMMYFUNCTION("""COMPUTED_VALUE"""),42.9723)</f>
        <v>42.9723</v>
      </c>
      <c r="E9" s="4">
        <f>IFERROR(__xludf.DUMMYFUNCTION("""COMPUTED_VALUE"""),-82.3445)</f>
        <v>-82.3445</v>
      </c>
      <c r="F9" s="4" t="str">
        <f>IFERROR(__xludf.DUMMYFUNCTION("""COMPUTED_VALUE"""),"ON")</f>
        <v>ON</v>
      </c>
      <c r="G9" s="4" t="str">
        <f>IFERROR(__xludf.DUMMYFUNCTION("""COMPUTED_VALUE"""),"Innovation Hub / Coworking Space")</f>
        <v>Innovation Hub / Coworking Space</v>
      </c>
      <c r="H9" s="4" t="str">
        <f>IFERROR(__xludf.DUMMYFUNCTION("""COMPUTED_VALUE"""),"Support for sustainable bioindustrial innovation, bioeconomy scaling, agri-tech commercialization")</f>
        <v>Support for sustainable bioindustrial innovation, bioeconomy scaling, agri-tech commercialization</v>
      </c>
      <c r="I9" s="44" t="str">
        <f>IFERROR(__xludf.DUMMYFUNCTION("""COMPUTED_VALUE"""),"https://www.bincanada.ca/")</f>
        <v>https://www.bincanada.ca/</v>
      </c>
      <c r="J9" s="4" t="str">
        <f>IFERROR(__xludf.DUMMYFUNCTION("""COMPUTED_VALUE"""),"mseagrave@bincanada.ca")</f>
        <v>mseagrave@bincanada.ca</v>
      </c>
      <c r="K9" s="4" t="str">
        <f>IFERROR(__xludf.DUMMYFUNCTION("""COMPUTED_VALUE"""),"-")</f>
        <v>-</v>
      </c>
      <c r="L9" s="4" t="str">
        <f>IFERROR(__xludf.DUMMYFUNCTION("""COMPUTED_VALUE"""),"Meaghan Seagrave, Executive DIrector")</f>
        <v>Meaghan Seagrave, Executive DIrector</v>
      </c>
      <c r="M9" s="4" t="str">
        <f>IFERROR(__xludf.DUMMYFUNCTION("""COMPUTED_VALUE"""),"Bioindustrial Innovation Canada provides critical strategic investment, advice and services to business developers of clean, green and sustainable technologies. ")</f>
        <v>Bioindustrial Innovation Canada provides critical strategic investment, advice and services to business developers of clean, green and sustainable technologies. </v>
      </c>
    </row>
    <row r="10">
      <c r="A10" s="4" t="str">
        <f>IFERROR(__xludf.DUMMYFUNCTION("""COMPUTED_VALUE"""),"Innovate Niagara")</f>
        <v>Innovate Niagara</v>
      </c>
      <c r="B10" s="4" t="str">
        <f>IFERROR(__xludf.DUMMYFUNCTION("""COMPUTED_VALUE"""),"St. Catharines, ON")</f>
        <v>St. Catharines, ON</v>
      </c>
      <c r="C10" s="4" t="str">
        <f>IFERROR(__xludf.DUMMYFUNCTION("""COMPUTED_VALUE"""),"386 St. Paul Street Suite 102, St. Catharines, ON L2R 3N2")</f>
        <v>386 St. Paul Street Suite 102, St. Catharines, ON L2R 3N2</v>
      </c>
      <c r="D10" s="4">
        <f>IFERROR(__xludf.DUMMYFUNCTION("""COMPUTED_VALUE"""),43.1593)</f>
        <v>43.1593</v>
      </c>
      <c r="E10" s="4">
        <f>IFERROR(__xludf.DUMMYFUNCTION("""COMPUTED_VALUE"""),-79.2436)</f>
        <v>-79.2436</v>
      </c>
      <c r="F10" s="4" t="str">
        <f>IFERROR(__xludf.DUMMYFUNCTION("""COMPUTED_VALUE"""),"ON")</f>
        <v>ON</v>
      </c>
      <c r="G10" s="4" t="str">
        <f>IFERROR(__xludf.DUMMYFUNCTION("""COMPUTED_VALUE"""),"Innovation Hub / Coworking Space")</f>
        <v>Innovation Hub / Coworking Space</v>
      </c>
      <c r="H10" s="4" t="str">
        <f>IFERROR(__xludf.DUMMYFUNCTION("""COMPUTED_VALUE"""),"Mentorship, market intelligence, networking opportunities, funded resources, Niagara's Innovation Ecosystem")</f>
        <v>Mentorship, market intelligence, networking opportunities, funded resources, Niagara's Innovation Ecosystem</v>
      </c>
      <c r="I10" s="44" t="str">
        <f>IFERROR(__xludf.DUMMYFUNCTION("""COMPUTED_VALUE"""),"https://www.innovateniagara.com/site/home")</f>
        <v>https://www.innovateniagara.com/site/home</v>
      </c>
      <c r="J10" s="4" t="str">
        <f>IFERROR(__xludf.DUMMYFUNCTION("""COMPUTED_VALUE"""),"-")</f>
        <v>-</v>
      </c>
      <c r="K10" s="4" t="str">
        <f>IFERROR(__xludf.DUMMYFUNCTION("""COMPUTED_VALUE"""),"905-685-3460")</f>
        <v>905-685-3460</v>
      </c>
      <c r="L10" s="4"/>
      <c r="M10" s="4" t="str">
        <f>IFERROR(__xludf.DUMMYFUNCTION("""COMPUTED_VALUE"""),"Niagara-wide services Helps entrepreneurs with innovation-based companies start, grow, and succeed.")</f>
        <v>Niagara-wide services Helps entrepreneurs with innovation-based companies start, grow, and succeed.</v>
      </c>
    </row>
    <row r="11">
      <c r="A11" s="4" t="str">
        <f>IFERROR(__xludf.DUMMYFUNCTION("""COMPUTED_VALUE"""),"MaRS Discovery District")</f>
        <v>MaRS Discovery District</v>
      </c>
      <c r="B11" s="4" t="str">
        <f>IFERROR(__xludf.DUMMYFUNCTION("""COMPUTED_VALUE"""),"Toronto, ON")</f>
        <v>Toronto, ON</v>
      </c>
      <c r="C11" s="4" t="str">
        <f>IFERROR(__xludf.DUMMYFUNCTION("""COMPUTED_VALUE"""),"101 College Street, Suite 100, Toronto, ON M5G 1L7")</f>
        <v>101 College Street, Suite 100, Toronto, ON M5G 1L7</v>
      </c>
      <c r="D11" s="4">
        <f>IFERROR(__xludf.DUMMYFUNCTION("""COMPUTED_VALUE"""),43.6599)</f>
        <v>43.6599</v>
      </c>
      <c r="E11" s="4">
        <f>IFERROR(__xludf.DUMMYFUNCTION("""COMPUTED_VALUE"""),-79.3886)</f>
        <v>-79.3886</v>
      </c>
      <c r="F11" s="4" t="str">
        <f>IFERROR(__xludf.DUMMYFUNCTION("""COMPUTED_VALUE"""),"ON")</f>
        <v>ON</v>
      </c>
      <c r="G11" s="4" t="str">
        <f>IFERROR(__xludf.DUMMYFUNCTION("""COMPUTED_VALUE"""),"Innovation Hub / Coworking Space")</f>
        <v>Innovation Hub / Coworking Space</v>
      </c>
      <c r="H11" s="4" t="str">
        <f>IFERROR(__xludf.DUMMYFUNCTION("""COMPUTED_VALUE"""),"Targeted support for Canadian science and tech companies")</f>
        <v>Targeted support for Canadian science and tech companies</v>
      </c>
      <c r="I11" s="44" t="str">
        <f>IFERROR(__xludf.DUMMYFUNCTION("""COMPUTED_VALUE"""),"https://marsdd.com/")</f>
        <v>https://marsdd.com/</v>
      </c>
      <c r="J11" s="4" t="str">
        <f>IFERROR(__xludf.DUMMYFUNCTION("""COMPUTED_VALUE"""),"community@marsdd.com")</f>
        <v>community@marsdd.com</v>
      </c>
      <c r="K11" s="4" t="str">
        <f>IFERROR(__xludf.DUMMYFUNCTION("""COMPUTED_VALUE"""),"416-673-8100")</f>
        <v>416-673-8100</v>
      </c>
      <c r="L11" s="4"/>
      <c r="M11" s="4" t="str">
        <f>IFERROR(__xludf.DUMMYFUNCTION("""COMPUTED_VALUE"""),"MaRS supports hundreds of companies at every stage of growth to achieve global impact and scale.")</f>
        <v>MaRS supports hundreds of companies at every stage of growth to achieve global impact and scale.</v>
      </c>
    </row>
    <row r="12">
      <c r="A12" s="4" t="str">
        <f>IFERROR(__xludf.DUMMYFUNCTION("""COMPUTED_VALUE"""),"Centre for Social Innovation (CSI)")</f>
        <v>Centre for Social Innovation (CSI)</v>
      </c>
      <c r="B12" s="4" t="str">
        <f>IFERROR(__xludf.DUMMYFUNCTION("""COMPUTED_VALUE"""),"Toronto, ON")</f>
        <v>Toronto, ON</v>
      </c>
      <c r="C12" s="4" t="str">
        <f>IFERROR(__xludf.DUMMYFUNCTION("""COMPUTED_VALUE"""),"720 Bathurst St, Toronto, ON M5S 2R4")</f>
        <v>720 Bathurst St, Toronto, ON M5S 2R4</v>
      </c>
      <c r="D12" s="4">
        <f>IFERROR(__xludf.DUMMYFUNCTION("""COMPUTED_VALUE"""),43.6632)</f>
        <v>43.6632</v>
      </c>
      <c r="E12" s="4">
        <f>IFERROR(__xludf.DUMMYFUNCTION("""COMPUTED_VALUE"""),-79.4108)</f>
        <v>-79.4108</v>
      </c>
      <c r="F12" s="4" t="str">
        <f>IFERROR(__xludf.DUMMYFUNCTION("""COMPUTED_VALUE"""),"ON")</f>
        <v>ON</v>
      </c>
      <c r="G12" s="4" t="str">
        <f>IFERROR(__xludf.DUMMYFUNCTION("""COMPUTED_VALUE"""),"Innovation Hub / Coworking Space")</f>
        <v>Innovation Hub / Coworking Space</v>
      </c>
      <c r="H12" s="4" t="str">
        <f>IFERROR(__xludf.DUMMYFUNCTION("""COMPUTED_VALUE"""),"Social enterprise incubation, coworking space, innovation community-building.")</f>
        <v>Social enterprise incubation, coworking space, innovation community-building.</v>
      </c>
      <c r="I12" s="44" t="str">
        <f>IFERROR(__xludf.DUMMYFUNCTION("""COMPUTED_VALUE"""),"https://socialinnovation.org/")</f>
        <v>https://socialinnovation.org/</v>
      </c>
      <c r="J12" s="4" t="str">
        <f>IFERROR(__xludf.DUMMYFUNCTION("""COMPUTED_VALUE"""),"info@socialinnovation.ca")</f>
        <v>info@socialinnovation.ca</v>
      </c>
      <c r="K12" s="4" t="str">
        <f>IFERROR(__xludf.DUMMYFUNCTION("""COMPUTED_VALUE"""),"416-979-3939 x. 2")</f>
        <v>416-979-3939 x. 2</v>
      </c>
      <c r="L12" s="4"/>
      <c r="M12" s="4" t="str">
        <f>IFERROR(__xludf.DUMMYFUNCTION("""COMPUTED_VALUE"""),"Inspires and supports people to create, develop, adopt, and integrate new and renewed concepts and practices that put people and planet first.")</f>
        <v>Inspires and supports people to create, develop, adopt, and integrate new and renewed concepts and practices that put people and planet first.</v>
      </c>
    </row>
    <row r="13">
      <c r="A13" s="4" t="str">
        <f>IFERROR(__xludf.DUMMYFUNCTION("""COMPUTED_VALUE"""),"Hackforge")</f>
        <v>Hackforge</v>
      </c>
      <c r="B13" s="4" t="str">
        <f>IFERROR(__xludf.DUMMYFUNCTION("""COMPUTED_VALUE"""),"Windsor, ON")</f>
        <v>Windsor, ON</v>
      </c>
      <c r="C13" s="4" t="str">
        <f>IFERROR(__xludf.DUMMYFUNCTION("""COMPUTED_VALUE"""),"300 Ouellette Ave Suite 210, Windsor, ON N9A 7B4")</f>
        <v>300 Ouellette Ave Suite 210, Windsor, ON N9A 7B4</v>
      </c>
      <c r="D13" s="4">
        <f>IFERROR(__xludf.DUMMYFUNCTION("""COMPUTED_VALUE"""),42.3173)</f>
        <v>42.3173</v>
      </c>
      <c r="E13" s="4">
        <f>IFERROR(__xludf.DUMMYFUNCTION("""COMPUTED_VALUE"""),-83.0386)</f>
        <v>-83.0386</v>
      </c>
      <c r="F13" s="4" t="str">
        <f>IFERROR(__xludf.DUMMYFUNCTION("""COMPUTED_VALUE"""),"ON")</f>
        <v>ON</v>
      </c>
      <c r="G13" s="4" t="str">
        <f>IFERROR(__xludf.DUMMYFUNCTION("""COMPUTED_VALUE"""),"Innovation Hub / Coworking Space")</f>
        <v>Innovation Hub / Coworking Space</v>
      </c>
      <c r="H13" s="4" t="str">
        <f>IFERROR(__xludf.DUMMYFUNCTION("""COMPUTED_VALUE"""),"Technology innovation, tech community")</f>
        <v>Technology innovation, tech community</v>
      </c>
      <c r="I13" s="44" t="str">
        <f>IFERROR(__xludf.DUMMYFUNCTION("""COMPUTED_VALUE"""),"https://www.hackf.org/")</f>
        <v>https://www.hackf.org/</v>
      </c>
      <c r="J13" s="4" t="str">
        <f>IFERROR(__xludf.DUMMYFUNCTION("""COMPUTED_VALUE"""),"info@hackf.org")</f>
        <v>info@hackf.org</v>
      </c>
      <c r="K13" s="4" t="str">
        <f>IFERROR(__xludf.DUMMYFUNCTION("""COMPUTED_VALUE"""),"888-960-7641 x. 4")</f>
        <v>888-960-7641 x. 4</v>
      </c>
      <c r="L13" s="4"/>
      <c r="M13" s="4" t="str">
        <f>IFERROR(__xludf.DUMMYFUNCTION("""COMPUTED_VALUE"""),"Building community and capacity around technology in Windsor and Essex County.")</f>
        <v>Building community and capacity around technology in Windsor and Essex County.</v>
      </c>
    </row>
    <row r="14">
      <c r="A14" s="4" t="str">
        <f>IFERROR(__xludf.DUMMYFUNCTION("""COMPUTED_VALUE"""),"Ontario Tourism Innovation Lab")</f>
        <v>Ontario Tourism Innovation Lab</v>
      </c>
      <c r="B14" s="4" t="str">
        <f>IFERROR(__xludf.DUMMYFUNCTION("""COMPUTED_VALUE"""),"Windsor, ON")</f>
        <v>Windsor, ON</v>
      </c>
      <c r="C14" s="4" t="str">
        <f>IFERROR(__xludf.DUMMYFUNCTION("""COMPUTED_VALUE"""),"Tourism Innovation Lab c/o Hackforge, 300 Ouellette Ave, Suite 210, Windsor, ON N9A 7B4")</f>
        <v>Tourism Innovation Lab c/o Hackforge, 300 Ouellette Ave, Suite 210, Windsor, ON N9A 7B4</v>
      </c>
      <c r="D14" s="4">
        <f>IFERROR(__xludf.DUMMYFUNCTION("""COMPUTED_VALUE"""),42.3179)</f>
        <v>42.3179</v>
      </c>
      <c r="E14" s="4">
        <f>IFERROR(__xludf.DUMMYFUNCTION("""COMPUTED_VALUE"""),-83.0386)</f>
        <v>-83.0386</v>
      </c>
      <c r="F14" s="4" t="str">
        <f>IFERROR(__xludf.DUMMYFUNCTION("""COMPUTED_VALUE"""),"ON")</f>
        <v>ON</v>
      </c>
      <c r="G14" s="4" t="str">
        <f>IFERROR(__xludf.DUMMYFUNCTION("""COMPUTED_VALUE"""),"Innovation Hub / Coworking Space")</f>
        <v>Innovation Hub / Coworking Space</v>
      </c>
      <c r="H14" s="4" t="str">
        <f>IFERROR(__xludf.DUMMYFUNCTION("""COMPUTED_VALUE"""),"Mentorship, incubation, micro-grants, tourism startup support, industry innovation")</f>
        <v>Mentorship, incubation, micro-grants, tourism startup support, industry innovation</v>
      </c>
      <c r="I14" s="44" t="str">
        <f>IFERROR(__xludf.DUMMYFUNCTION("""COMPUTED_VALUE"""),"https://www.tourisminnovation.ca/")</f>
        <v>https://www.tourisminnovation.ca/</v>
      </c>
      <c r="J14" s="4" t="str">
        <f>IFERROR(__xludf.DUMMYFUNCTION("""COMPUTED_VALUE"""),"info@tourisminnovation.ca")</f>
        <v>info@tourisminnovation.ca</v>
      </c>
      <c r="K14" s="4" t="str">
        <f>IFERROR(__xludf.DUMMYFUNCTION("""COMPUTED_VALUE"""),"-")</f>
        <v>-</v>
      </c>
      <c r="L14" s="4"/>
      <c r="M14" s="4" t="str">
        <f>IFERROR(__xludf.DUMMYFUNCTION("""COMPUTED_VALUE"""),"The Tourism Innovation Lab is a non-profit initiative created to find, foster and support new tourism ideas, experiences and partnerships, to cultivate and propel collaborations between the tourism and tech sectors, and to build a community of tourism inn"&amp;"ovators, idea makers and entrepreneurs in Canada. ")</f>
        <v>The Tourism Innovation Lab is a non-profit initiative created to find, foster and support new tourism ideas, experiences and partnerships, to cultivate and propel collaborations between the tourism and tech sectors, and to build a community of tourism innovators, idea makers and entrepreneurs in Canada. </v>
      </c>
    </row>
    <row r="15">
      <c r="A15" s="4" t="str">
        <f>IFERROR(__xludf.DUMMYFUNCTION("""COMPUTED_VALUE"""),"Indigenous Innovation Initiative (Grand Challenges Canada)")</f>
        <v>Indigenous Innovation Initiative (Grand Challenges Canada)</v>
      </c>
      <c r="B15" s="4" t="str">
        <f>IFERROR(__xludf.DUMMYFUNCTION("""COMPUTED_VALUE"""),"Toronto, ON ")</f>
        <v>Toronto, ON </v>
      </c>
      <c r="C15" s="4" t="str">
        <f>IFERROR(__xludf.DUMMYFUNCTION("""COMPUTED_VALUE"""),"661 University Avenue, Toronto, ON M5G 1M1")</f>
        <v>661 University Avenue, Toronto, ON M5G 1M1</v>
      </c>
      <c r="D15" s="4">
        <f>IFERROR(__xludf.DUMMYFUNCTION("""COMPUTED_VALUE"""),43.65906)</f>
        <v>43.65906</v>
      </c>
      <c r="E15" s="4">
        <f>IFERROR(__xludf.DUMMYFUNCTION("""COMPUTED_VALUE"""),-79.38921)</f>
        <v>-79.38921</v>
      </c>
      <c r="F15" s="4" t="str">
        <f>IFERROR(__xludf.DUMMYFUNCTION("""COMPUTED_VALUE"""),"ON")</f>
        <v>ON</v>
      </c>
      <c r="G15" s="4" t="str">
        <f>IFERROR(__xludf.DUMMYFUNCTION("""COMPUTED_VALUE"""),"Innovation Hub / Coworking Space")</f>
        <v>Innovation Hub / Coworking Space</v>
      </c>
      <c r="H15" s="4" t="str">
        <f>IFERROR(__xludf.DUMMYFUNCTION("""COMPUTED_VALUE"""),"Funding, capacity-building, innovation for Indigenous-led startups.")</f>
        <v>Funding, capacity-building, innovation for Indigenous-led startups.</v>
      </c>
      <c r="I15" s="44" t="str">
        <f>IFERROR(__xludf.DUMMYFUNCTION("""COMPUTED_VALUE"""),"https://www.indigenousinnovate.org/")</f>
        <v>https://www.indigenousinnovate.org/</v>
      </c>
      <c r="J15" s="4" t="str">
        <f>IFERROR(__xludf.DUMMYFUNCTION("""COMPUTED_VALUE"""),"info@indigenousinnovate.org")</f>
        <v>info@indigenousinnovate.org</v>
      </c>
      <c r="K15" s="4" t="str">
        <f>IFERROR(__xludf.DUMMYFUNCTION("""COMPUTED_VALUE"""),"437-228-3504")</f>
        <v>437-228-3504</v>
      </c>
      <c r="L15" s="4"/>
      <c r="M15" s="4" t="str">
        <f>IFERROR(__xludf.DUMMYFUNCTION("""COMPUTED_VALUE"""),"Goal is to empower First Nation, Inuit and Métis innovators and communities to identify and solve their own challenges, transform lives and drive inclusive growth, wellbeing and cultural revitalization through innovation. ")</f>
        <v>Goal is to empower First Nation, Inuit and Métis innovators and communities to identify and solve their own challenges, transform lives and drive inclusive growth, wellbeing and cultural revitalization through innovation. </v>
      </c>
    </row>
    <row r="16">
      <c r="A16" s="4" t="str">
        <f>IFERROR(__xludf.DUMMYFUNCTION("""COMPUTED_VALUE"""),"Ontario Centre of Innovation (OCI)")</f>
        <v>Ontario Centre of Innovation (OCI)</v>
      </c>
      <c r="B16" s="4" t="str">
        <f>IFERROR(__xludf.DUMMYFUNCTION("""COMPUTED_VALUE"""),"Toronto, ON")</f>
        <v>Toronto, ON</v>
      </c>
      <c r="C16" s="4" t="str">
        <f>IFERROR(__xludf.DUMMYFUNCTION("""COMPUTED_VALUE"""),"325 Front St W Suite 300, Toronto, ON M5V 2Y1")</f>
        <v>325 Front St W Suite 300, Toronto, ON M5V 2Y1</v>
      </c>
      <c r="D16" s="4">
        <f>IFERROR(__xludf.DUMMYFUNCTION("""COMPUTED_VALUE"""),43.6431607557893)</f>
        <v>43.64316076</v>
      </c>
      <c r="E16" s="4">
        <f>IFERROR(__xludf.DUMMYFUNCTION("""COMPUTED_VALUE"""),-79.3903069576716)</f>
        <v>-79.39030696</v>
      </c>
      <c r="F16" s="4" t="str">
        <f>IFERROR(__xludf.DUMMYFUNCTION("""COMPUTED_VALUE"""),"ON")</f>
        <v>ON</v>
      </c>
      <c r="G16" s="4" t="str">
        <f>IFERROR(__xludf.DUMMYFUNCTION("""COMPUTED_VALUE"""),"Innovation Hub / Coworking Space")</f>
        <v>Innovation Hub / Coworking Space</v>
      </c>
      <c r="H16" s="4" t="str">
        <f>IFERROR(__xludf.DUMMYFUNCTION("""COMPUTED_VALUE"""),"Technology development, R&amp;D, commercialization")</f>
        <v>Technology development, R&amp;D, commercialization</v>
      </c>
      <c r="I16" s="44" t="str">
        <f>IFERROR(__xludf.DUMMYFUNCTION("""COMPUTED_VALUE"""),"https://www.oc-innovation.ca")</f>
        <v>https://www.oc-innovation.ca</v>
      </c>
      <c r="J16" s="4" t="str">
        <f>IFERROR(__xludf.DUMMYFUNCTION("""COMPUTED_VALUE"""),"apereira@oc-innovation.ca")</f>
        <v>apereira@oc-innovation.ca</v>
      </c>
      <c r="K16" s="4" t="str">
        <f>IFERROR(__xludf.DUMMYFUNCTION("""COMPUTED_VALUE"""),"416-861-1092")</f>
        <v>416-861-1092</v>
      </c>
      <c r="L16" s="4" t="str">
        <f>IFERROR(__xludf.DUMMYFUNCTION("""COMPUTED_VALUE"""),"Alicia Pereira, Vice President Marketing &amp; Communications")</f>
        <v>Alicia Pereira, Vice President Marketing &amp; Communications</v>
      </c>
      <c r="M16" s="4" t="str">
        <f>IFERROR(__xludf.DUMMYFUNCTION("""COMPUTED_VALUE"""),"Brings industry, academic, and government partners together to invest in collaborative R&amp;D, technology development, and commercialization opportunities that generate the highest return on innovation for Ontarians.")</f>
        <v>Brings industry, academic, and government partners together to invest in collaborative R&amp;D, technology development, and commercialization opportunities that generate the highest return on innovation for Ontarians.</v>
      </c>
    </row>
    <row r="17">
      <c r="A17" s="4" t="str">
        <f>IFERROR(__xludf.DUMMYFUNCTION("""COMPUTED_VALUE"""),"Mitacs")</f>
        <v>Mitacs</v>
      </c>
      <c r="B17" s="4" t="str">
        <f>IFERROR(__xludf.DUMMYFUNCTION("""COMPUTED_VALUE"""),"Toronto, ON")</f>
        <v>Toronto, ON</v>
      </c>
      <c r="C17" s="4" t="str">
        <f>IFERROR(__xludf.DUMMYFUNCTION("""COMPUTED_VALUE"""),"100 College St, Toronto, ON M5S 1B4")</f>
        <v>100 College St, Toronto, ON M5S 1B4</v>
      </c>
      <c r="D17" s="4">
        <f>IFERROR(__xludf.DUMMYFUNCTION("""COMPUTED_VALUE"""),43.6799762786669)</f>
        <v>43.67997628</v>
      </c>
      <c r="E17" s="4">
        <f>IFERROR(__xludf.DUMMYFUNCTION("""COMPUTED_VALUE"""),-79.4053405847207)</f>
        <v>-79.40534058</v>
      </c>
      <c r="F17" s="4" t="str">
        <f>IFERROR(__xludf.DUMMYFUNCTION("""COMPUTED_VALUE"""),"ON")</f>
        <v>ON</v>
      </c>
      <c r="G17" s="4" t="str">
        <f>IFERROR(__xludf.DUMMYFUNCTION("""COMPUTED_VALUE"""),"Innovation Hub / Coworking Space")</f>
        <v>Innovation Hub / Coworking Space</v>
      </c>
      <c r="H17" s="4" t="str">
        <f>IFERROR(__xludf.DUMMYFUNCTION("""COMPUTED_VALUE"""),"Connecting to talent, financial support, manaigng innovation, training opportunities")</f>
        <v>Connecting to talent, financial support, manaigng innovation, training opportunities</v>
      </c>
      <c r="I17" s="44" t="str">
        <f>IFERROR(__xludf.DUMMYFUNCTION("""COMPUTED_VALUE"""),"https://www.mitacs.ca/")</f>
        <v>https://www.mitacs.ca/</v>
      </c>
      <c r="J17" s="4" t="str">
        <f>IFERROR(__xludf.DUMMYFUNCTION("""COMPUTED_VALUE"""),"bd@mitacs.ca")</f>
        <v>bd@mitacs.ca</v>
      </c>
      <c r="K17" s="4" t="str">
        <f>IFERROR(__xludf.DUMMYFUNCTION("""COMPUTED_VALUE"""),"-")</f>
        <v>-</v>
      </c>
      <c r="L17" s="4"/>
      <c r="M17" s="4" t="str">
        <f>IFERROR(__xludf.DUMMYFUNCTION("""COMPUTED_VALUE"""),"Connects businesses and researchers. Provides resources needed to drive competitiveness and productivity in sectors such as digital technology, AI, energy, sustainable solutions, and advanced manufacturing.")</f>
        <v>Connects businesses and researchers. Provides resources needed to drive competitiveness and productivity in sectors such as digital technology, AI, energy, sustainable solutions, and advanced manufacturing.</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s>
  <printOptions/>
  <pageMargins bottom="0.75" footer="0.0" header="0.0" left="0.7" right="0.7" top="0.75"/>
  <pageSetup orientation="landscape"/>
  <drawing r:id="rId1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4" t="str">
        <f>IFERROR(__xludf.DUMMYFUNCTION("VSTACK('Asset Map - v2'!A1:M1, FILTER('Asset Map - v2'!A:M, 'Asset Map - v2'!G:G=""Entrepreneurship/Small Business/Non-Profit Support""))"),"Organization Name")</f>
        <v>Organization Name</v>
      </c>
      <c r="B1" s="4" t="str">
        <f>IFERROR(__xludf.DUMMYFUNCTION("""COMPUTED_VALUE"""),"City")</f>
        <v>City</v>
      </c>
      <c r="C1" s="4" t="str">
        <f>IFERROR(__xludf.DUMMYFUNCTION("""COMPUTED_VALUE"""),"Address")</f>
        <v>Address</v>
      </c>
      <c r="D1" s="4" t="str">
        <f>IFERROR(__xludf.DUMMYFUNCTION("""COMPUTED_VALUE"""),"Latitude")</f>
        <v>Latitude</v>
      </c>
      <c r="E1" s="4" t="str">
        <f>IFERROR(__xludf.DUMMYFUNCTION("""COMPUTED_VALUE"""),"Longitude")</f>
        <v>Longitude</v>
      </c>
      <c r="F1" s="4" t="str">
        <f>IFERROR(__xludf.DUMMYFUNCTION("""COMPUTED_VALUE"""),"Province/State")</f>
        <v>Province/State</v>
      </c>
      <c r="G1" s="4" t="str">
        <f>IFERROR(__xludf.DUMMYFUNCTION("""COMPUTED_VALUE"""),"Sector/Type")</f>
        <v>Sector/Type</v>
      </c>
      <c r="H1" s="4" t="str">
        <f>IFERROR(__xludf.DUMMYFUNCTION("""COMPUTED_VALUE"""),"Services Offered")</f>
        <v>Services Offered</v>
      </c>
      <c r="I1" s="4" t="str">
        <f>IFERROR(__xludf.DUMMYFUNCTION("""COMPUTED_VALUE"""),"Website")</f>
        <v>Website</v>
      </c>
      <c r="J1" s="4" t="str">
        <f>IFERROR(__xludf.DUMMYFUNCTION("""COMPUTED_VALUE"""),"Email Address")</f>
        <v>Email Address</v>
      </c>
      <c r="K1" s="4" t="str">
        <f>IFERROR(__xludf.DUMMYFUNCTION("""COMPUTED_VALUE"""),"Phone Number")</f>
        <v>Phone Number</v>
      </c>
      <c r="L1" s="4" t="str">
        <f>IFERROR(__xludf.DUMMYFUNCTION("""COMPUTED_VALUE"""),"Contact Name")</f>
        <v>Contact Name</v>
      </c>
      <c r="M1" s="4" t="str">
        <f>IFERROR(__xludf.DUMMYFUNCTION("""COMPUTED_VALUE"""),"Notes")</f>
        <v>Notes</v>
      </c>
    </row>
    <row r="2">
      <c r="A2" s="4" t="str">
        <f>IFERROR(__xludf.DUMMYFUNCTION("""COMPUTED_VALUE"""),"SCORE Ann Arbor")</f>
        <v>SCORE Ann Arbor</v>
      </c>
      <c r="B2" s="4" t="str">
        <f>IFERROR(__xludf.DUMMYFUNCTION("""COMPUTED_VALUE"""),"Ann Arbor, MI")</f>
        <v>Ann Arbor, MI</v>
      </c>
      <c r="C2" s="4" t="str">
        <f>IFERROR(__xludf.DUMMYFUNCTION("""COMPUTED_VALUE"""),"1100 N Main St Ste 109, Ann Arbor, MI 48104")</f>
        <v>1100 N Main St Ste 109, Ann Arbor, MI 48104</v>
      </c>
      <c r="D2" s="4">
        <f>IFERROR(__xludf.DUMMYFUNCTION("""COMPUTED_VALUE"""),42.2939)</f>
        <v>42.2939</v>
      </c>
      <c r="E2" s="4">
        <f>IFERROR(__xludf.DUMMYFUNCTION("""COMPUTED_VALUE"""),-83.7467)</f>
        <v>-83.7467</v>
      </c>
      <c r="F2" s="4" t="str">
        <f>IFERROR(__xludf.DUMMYFUNCTION("""COMPUTED_VALUE"""),"MI")</f>
        <v>MI</v>
      </c>
      <c r="G2" s="4" t="str">
        <f>IFERROR(__xludf.DUMMYFUNCTION("""COMPUTED_VALUE"""),"Entrepreneurship/Small Business/Non-Profit Support")</f>
        <v>Entrepreneurship/Small Business/Non-Profit Support</v>
      </c>
      <c r="H2" s="4" t="str">
        <f>IFERROR(__xludf.DUMMYFUNCTION("""COMPUTED_VALUE"""),"Free mentorship, business planning, SBA partner")</f>
        <v>Free mentorship, business planning, SBA partner</v>
      </c>
      <c r="I2" s="44" t="str">
        <f>IFERROR(__xludf.DUMMYFUNCTION("""COMPUTED_VALUE"""),"https://www.score.org/annarborarea")</f>
        <v>https://www.score.org/annarborarea</v>
      </c>
      <c r="J2" s="4"/>
      <c r="K2" s="4" t="str">
        <f>IFERROR(__xludf.DUMMYFUNCTION("""COMPUTED_VALUE"""),"1-800-634-0245")</f>
        <v>1-800-634-0245</v>
      </c>
      <c r="L2" s="4"/>
      <c r="M2" s="4" t="str">
        <f>IFERROR(__xludf.DUMMYFUNCTION("""COMPUTED_VALUE"""),"Experienced entrepreneurs, corporate managers, and executives with diverse backgrounds and specialties. All advice is completely confidential.")</f>
        <v>Experienced entrepreneurs, corporate managers, and executives with diverse backgrounds and specialties. All advice is completely confidential.</v>
      </c>
    </row>
    <row r="3">
      <c r="A3" s="4" t="str">
        <f>IFERROR(__xludf.DUMMYFUNCTION("""COMPUTED_VALUE"""),"Build Institute")</f>
        <v>Build Institute</v>
      </c>
      <c r="B3" s="4" t="str">
        <f>IFERROR(__xludf.DUMMYFUNCTION("""COMPUTED_VALUE"""),"Detroit, MI")</f>
        <v>Detroit, MI</v>
      </c>
      <c r="C3" s="4" t="str">
        <f>IFERROR(__xludf.DUMMYFUNCTION("""COMPUTED_VALUE"""),"1620 Michigan Ave, Detroit, MI 48216")</f>
        <v>1620 Michigan Ave, Detroit, MI 48216</v>
      </c>
      <c r="D3" s="4">
        <f>IFERROR(__xludf.DUMMYFUNCTION("""COMPUTED_VALUE"""),42.3256)</f>
        <v>42.3256</v>
      </c>
      <c r="E3" s="4">
        <f>IFERROR(__xludf.DUMMYFUNCTION("""COMPUTED_VALUE"""),-83.068)</f>
        <v>-83.068</v>
      </c>
      <c r="F3" s="4" t="str">
        <f>IFERROR(__xludf.DUMMYFUNCTION("""COMPUTED_VALUE"""),"MI")</f>
        <v>MI</v>
      </c>
      <c r="G3" s="4" t="str">
        <f>IFERROR(__xludf.DUMMYFUNCTION("""COMPUTED_VALUE"""),"Entrepreneurship/Small Business/Non-Profit Support")</f>
        <v>Entrepreneurship/Small Business/Non-Profit Support</v>
      </c>
      <c r="H3" s="4" t="str">
        <f>IFERROR(__xludf.DUMMYFUNCTION("""COMPUTED_VALUE"""),"Entrepreneur training, masterclasses, access to network")</f>
        <v>Entrepreneur training, masterclasses, access to network</v>
      </c>
      <c r="I3" s="44" t="str">
        <f>IFERROR(__xludf.DUMMYFUNCTION("""COMPUTED_VALUE"""),"https://www.buildinstitute.org/")</f>
        <v>https://www.buildinstitute.org/</v>
      </c>
      <c r="J3" s="4" t="str">
        <f>IFERROR(__xludf.DUMMYFUNCTION("""COMPUTED_VALUE"""),"hello@buildinstitute.org")</f>
        <v>hello@buildinstitute.org</v>
      </c>
      <c r="K3" s="4" t="str">
        <f>IFERROR(__xludf.DUMMYFUNCTION("""COMPUTED_VALUE"""),"313.265.3590")</f>
        <v>313.265.3590</v>
      </c>
      <c r="L3" s="4"/>
      <c r="M3" s="4" t="str">
        <f>IFERROR(__xludf.DUMMYFUNCTION("""COMPUTED_VALUE"""),"Offers classes, networking events, mentorship, and connctions to resources.")</f>
        <v>Offers classes, networking events, mentorship, and connctions to resources.</v>
      </c>
    </row>
    <row r="4">
      <c r="A4" s="4" t="str">
        <f>IFERROR(__xludf.DUMMYFUNCTION("""COMPUTED_VALUE"""),"ProsperUs Detroit")</f>
        <v>ProsperUs Detroit</v>
      </c>
      <c r="B4" s="4" t="str">
        <f>IFERROR(__xludf.DUMMYFUNCTION("""COMPUTED_VALUE"""),"Detroit, MI")</f>
        <v>Detroit, MI</v>
      </c>
      <c r="C4" s="4" t="str">
        <f>IFERROR(__xludf.DUMMYFUNCTION("""COMPUTED_VALUE"""),"440 Burroughs St, Suite 360, Detroit, MI 48202")</f>
        <v>440 Burroughs St, Suite 360, Detroit, MI 48202</v>
      </c>
      <c r="D4" s="4">
        <f>IFERROR(__xludf.DUMMYFUNCTION("""COMPUTED_VALUE"""),42.3649)</f>
        <v>42.3649</v>
      </c>
      <c r="E4" s="4">
        <f>IFERROR(__xludf.DUMMYFUNCTION("""COMPUTED_VALUE"""),-83.0727)</f>
        <v>-83.0727</v>
      </c>
      <c r="F4" s="4" t="str">
        <f>IFERROR(__xludf.DUMMYFUNCTION("""COMPUTED_VALUE"""),"MI")</f>
        <v>MI</v>
      </c>
      <c r="G4" s="4" t="str">
        <f>IFERROR(__xludf.DUMMYFUNCTION("""COMPUTED_VALUE"""),"Entrepreneurship/Small Business/Non-Profit Support")</f>
        <v>Entrepreneurship/Small Business/Non-Profit Support</v>
      </c>
      <c r="H4" s="4" t="str">
        <f>IFERROR(__xludf.DUMMYFUNCTION("""COMPUTED_VALUE"""),"Training, financial coaching, business services, lending")</f>
        <v>Training, financial coaching, business services, lending</v>
      </c>
      <c r="I4" s="44" t="str">
        <f>IFERROR(__xludf.DUMMYFUNCTION("""COMPUTED_VALUE"""),"https://prosperusdetroit.org/")</f>
        <v>https://prosperusdetroit.org/</v>
      </c>
      <c r="J4" s="4" t="str">
        <f>IFERROR(__xludf.DUMMYFUNCTION("""COMPUTED_VALUE"""),"info@prosperusdetroit.org")</f>
        <v>info@prosperusdetroit.org</v>
      </c>
      <c r="K4" s="4" t="str">
        <f>IFERROR(__xludf.DUMMYFUNCTION("""COMPUTED_VALUE"""),"313-586-0655")</f>
        <v>313-586-0655</v>
      </c>
      <c r="L4" s="4"/>
      <c r="M4" s="4" t="str">
        <f>IFERROR(__xludf.DUMMYFUNCTION("""COMPUTED_VALUE"""),"Supports entrepreneurs with opportunities and capital to build businesses, generational wealth, and vibrant neighborhoods.")</f>
        <v>Supports entrepreneurs with opportunities and capital to build businesses, generational wealth, and vibrant neighborhoods.</v>
      </c>
    </row>
    <row r="5">
      <c r="A5" s="4" t="str">
        <f>IFERROR(__xludf.DUMMYFUNCTION("""COMPUTED_VALUE"""),"Michigan Founders Fund")</f>
        <v>Michigan Founders Fund</v>
      </c>
      <c r="B5" s="4" t="str">
        <f>IFERROR(__xludf.DUMMYFUNCTION("""COMPUTED_VALUE"""),"Ann Arbor, MI")</f>
        <v>Ann Arbor, MI</v>
      </c>
      <c r="C5" s="4" t="str">
        <f>IFERROR(__xludf.DUMMYFUNCTION("""COMPUTED_VALUE"""),"206 E Huron St, Suite 305, Ann Arbor, MI 48104")</f>
        <v>206 E Huron St, Suite 305, Ann Arbor, MI 48104</v>
      </c>
      <c r="D5" s="4">
        <f>IFERROR(__xludf.DUMMYFUNCTION("""COMPUTED_VALUE"""),42.2813182995817)</f>
        <v>42.2813183</v>
      </c>
      <c r="E5" s="4">
        <f>IFERROR(__xludf.DUMMYFUNCTION("""COMPUTED_VALUE"""),-83.7467960032987)</f>
        <v>-83.746796</v>
      </c>
      <c r="F5" s="4" t="str">
        <f>IFERROR(__xludf.DUMMYFUNCTION("""COMPUTED_VALUE"""),"MI")</f>
        <v>MI</v>
      </c>
      <c r="G5" s="4" t="str">
        <f>IFERROR(__xludf.DUMMYFUNCTION("""COMPUTED_VALUE"""),"Entrepreneurship/Small Business/Non-Profit Support")</f>
        <v>Entrepreneurship/Small Business/Non-Profit Support</v>
      </c>
      <c r="H5" s="4" t="str">
        <f>IFERROR(__xludf.DUMMYFUNCTION("""COMPUTED_VALUE"""),"Entrepreneur community, impact-driven startup support")</f>
        <v>Entrepreneur community, impact-driven startup support</v>
      </c>
      <c r="I5" s="44" t="str">
        <f>IFERROR(__xludf.DUMMYFUNCTION("""COMPUTED_VALUE"""),"https://michiganfoundersfund.org/")</f>
        <v>https://michiganfoundersfund.org/</v>
      </c>
      <c r="J5" s="4" t="str">
        <f>IFERROR(__xludf.DUMMYFUNCTION("""COMPUTED_VALUE"""),"brittni@michiganfoundersfund.org")</f>
        <v>brittni@michiganfoundersfund.org</v>
      </c>
      <c r="K5" s="4"/>
      <c r="L5" s="4" t="str">
        <f>IFERROR(__xludf.DUMMYFUNCTION("""COMPUTED_VALUE"""),"Brittni Abiolu, Program Manager, MFF Pre-Accelerator")</f>
        <v>Brittni Abiolu, Program Manager, MFF Pre-Accelerator</v>
      </c>
      <c r="M5" s="4" t="str">
        <f>IFERROR(__xludf.DUMMYFUNCTION("""COMPUTED_VALUE"""),"Network of entrepreneurs and investors who have pledged 1% of equity or carry to support impactful local organizations in Michigan to better our communities and enrich quality of life.")</f>
        <v>Network of entrepreneurs and investors who have pledged 1% of equity or carry to support impactful local organizations in Michigan to better our communities and enrich quality of life.</v>
      </c>
    </row>
    <row r="6">
      <c r="A6" s="4" t="str">
        <f>IFERROR(__xludf.DUMMYFUNCTION("""COMPUTED_VALUE"""),"Altitude Accelerator")</f>
        <v>Altitude Accelerator</v>
      </c>
      <c r="B6" s="4" t="str">
        <f>IFERROR(__xludf.DUMMYFUNCTION("""COMPUTED_VALUE"""),"Brampton, ON")</f>
        <v>Brampton, ON</v>
      </c>
      <c r="C6" s="4" t="str">
        <f>IFERROR(__xludf.DUMMYFUNCTION("""COMPUTED_VALUE"""),"6 George Street South, Brampton, ON L6Y 1P1")</f>
        <v>6 George Street South, Brampton, ON L6Y 1P1</v>
      </c>
      <c r="D6" s="4">
        <f>IFERROR(__xludf.DUMMYFUNCTION("""COMPUTED_VALUE"""),43.68333)</f>
        <v>43.68333</v>
      </c>
      <c r="E6" s="4">
        <f>IFERROR(__xludf.DUMMYFUNCTION("""COMPUTED_VALUE"""),-79.76667)</f>
        <v>-79.76667</v>
      </c>
      <c r="F6" s="4" t="str">
        <f>IFERROR(__xludf.DUMMYFUNCTION("""COMPUTED_VALUE"""),"ON")</f>
        <v>ON</v>
      </c>
      <c r="G6" s="4" t="str">
        <f>IFERROR(__xludf.DUMMYFUNCTION("""COMPUTED_VALUE"""),"Entrepreneurship/Small Business/Non-Profit Support")</f>
        <v>Entrepreneurship/Small Business/Non-Profit Support</v>
      </c>
      <c r="H6" s="4" t="str">
        <f>IFERROR(__xludf.DUMMYFUNCTION("""COMPUTED_VALUE"""),"Early-stage startups, advisory, IP support")</f>
        <v>Early-stage startups, advisory, IP support</v>
      </c>
      <c r="I6" s="44" t="str">
        <f>IFERROR(__xludf.DUMMYFUNCTION("""COMPUTED_VALUE"""),"https://altitudeaccelerator.ca/")</f>
        <v>https://altitudeaccelerator.ca/</v>
      </c>
      <c r="J6" s="4" t="str">
        <f>IFERROR(__xludf.DUMMYFUNCTION("""COMPUTED_VALUE"""),"info@altitudeaccelerator.ca")</f>
        <v>info@altitudeaccelerator.ca</v>
      </c>
      <c r="K6" s="4" t="str">
        <f>IFERROR(__xludf.DUMMYFUNCTION("""COMPUTED_VALUE"""),"289-373-3050")</f>
        <v>289-373-3050</v>
      </c>
      <c r="L6" s="4"/>
      <c r="M6" s="4" t="str">
        <f>IFERROR(__xludf.DUMMYFUNCTION("""COMPUTED_VALUE"""),"Not-for-profit innovation hub and business incubator committed to commercializing impactful technology.")</f>
        <v>Not-for-profit innovation hub and business incubator committed to commercializing impactful technology.</v>
      </c>
    </row>
    <row r="7">
      <c r="A7" s="4" t="str">
        <f>IFERROR(__xludf.DUMMYFUNCTION("""COMPUTED_VALUE"""),"Small Business Centre Chatham-Kent")</f>
        <v>Small Business Centre Chatham-Kent</v>
      </c>
      <c r="B7" s="4" t="str">
        <f>IFERROR(__xludf.DUMMYFUNCTION("""COMPUTED_VALUE"""),"Chatham, ON")</f>
        <v>Chatham, ON</v>
      </c>
      <c r="C7" s="4" t="str">
        <f>IFERROR(__xludf.DUMMYFUNCTION("""COMPUTED_VALUE"""),"124 Thames St, Chatham, ON N7L 2Y8")</f>
        <v>124 Thames St, Chatham, ON N7L 2Y8</v>
      </c>
      <c r="D7" s="4">
        <f>IFERROR(__xludf.DUMMYFUNCTION("""COMPUTED_VALUE"""),42.4084)</f>
        <v>42.4084</v>
      </c>
      <c r="E7" s="4">
        <f>IFERROR(__xludf.DUMMYFUNCTION("""COMPUTED_VALUE"""),-82.1853)</f>
        <v>-82.1853</v>
      </c>
      <c r="F7" s="4" t="str">
        <f>IFERROR(__xludf.DUMMYFUNCTION("""COMPUTED_VALUE"""),"ON")</f>
        <v>ON</v>
      </c>
      <c r="G7" s="4" t="str">
        <f>IFERROR(__xludf.DUMMYFUNCTION("""COMPUTED_VALUE"""),"Entrepreneurship/Small Business/Non-Profit Support")</f>
        <v>Entrepreneurship/Small Business/Non-Profit Support</v>
      </c>
      <c r="H7" s="4" t="str">
        <f>IFERROR(__xludf.DUMMYFUNCTION("""COMPUTED_VALUE"""),"Advisory services, training, funding")</f>
        <v>Advisory services, training, funding</v>
      </c>
      <c r="I7" s="44" t="str">
        <f>IFERROR(__xludf.DUMMYFUNCTION("""COMPUTED_VALUE"""),"https://www.chatham-kent.ca/EconomicDevelopment/yourbusiness/Pages/Locations.aspx")</f>
        <v>https://www.chatham-kent.ca/EconomicDevelopment/yourbusiness/Pages/Locations.aspx</v>
      </c>
      <c r="J7" s="4" t="str">
        <f>IFERROR(__xludf.DUMMYFUNCTION("""COMPUTED_VALUE"""),"cksbc@chatham-kent.ca")</f>
        <v>cksbc@chatham-kent.ca</v>
      </c>
      <c r="K7" s="4" t="str">
        <f>IFERROR(__xludf.DUMMYFUNCTION("""COMPUTED_VALUE"""),"519-351-7700")</f>
        <v>519-351-7700</v>
      </c>
      <c r="L7" s="4"/>
      <c r="M7" s="4" t="str">
        <f>IFERROR(__xludf.DUMMYFUNCTION("""COMPUTED_VALUE"""),"Supports early-stage entrepreneursin Chatham-Kent.")</f>
        <v>Supports early-stage entrepreneursin Chatham-Kent.</v>
      </c>
    </row>
    <row r="8">
      <c r="A8" s="4" t="str">
        <f>IFERROR(__xludf.DUMMYFUNCTION("""COMPUTED_VALUE"""),"Pillar Nonprofit Network – Innovation Works")</f>
        <v>Pillar Nonprofit Network – Innovation Works</v>
      </c>
      <c r="B8" s="4" t="str">
        <f>IFERROR(__xludf.DUMMYFUNCTION("""COMPUTED_VALUE"""),"London, ON")</f>
        <v>London, ON</v>
      </c>
      <c r="C8" s="4" t="str">
        <f>IFERROR(__xludf.DUMMYFUNCTION("""COMPUTED_VALUE"""),"201 King Street London, ON, N6A 1C9")</f>
        <v>201 King Street London, ON, N6A 1C9</v>
      </c>
      <c r="D8" s="4">
        <f>IFERROR(__xludf.DUMMYFUNCTION("""COMPUTED_VALUE"""),42.9827)</f>
        <v>42.9827</v>
      </c>
      <c r="E8" s="4">
        <f>IFERROR(__xludf.DUMMYFUNCTION("""COMPUTED_VALUE"""),-81.2475)</f>
        <v>-81.2475</v>
      </c>
      <c r="F8" s="4" t="str">
        <f>IFERROR(__xludf.DUMMYFUNCTION("""COMPUTED_VALUE"""),"ON")</f>
        <v>ON</v>
      </c>
      <c r="G8" s="4" t="str">
        <f>IFERROR(__xludf.DUMMYFUNCTION("""COMPUTED_VALUE"""),"Entrepreneurship/Small Business/Non-Profit Support")</f>
        <v>Entrepreneurship/Small Business/Non-Profit Support</v>
      </c>
      <c r="H8" s="4" t="str">
        <f>IFERROR(__xludf.DUMMYFUNCTION("""COMPUTED_VALUE"""),"Social innovation, community-building, impact entrepreneurship.")</f>
        <v>Social innovation, community-building, impact entrepreneurship.</v>
      </c>
      <c r="I8" s="44" t="str">
        <f>IFERROR(__xludf.DUMMYFUNCTION("""COMPUTED_VALUE"""),"https://pillarnonprofit.ca/")</f>
        <v>https://pillarnonprofit.ca/</v>
      </c>
      <c r="J8" s="4" t="str">
        <f>IFERROR(__xludf.DUMMYFUNCTION("""COMPUTED_VALUE"""),"membership@pillarnonprofit.ca")</f>
        <v>membership@pillarnonprofit.ca</v>
      </c>
      <c r="K8" s="4" t="str">
        <f>IFERROR(__xludf.DUMMYFUNCTION("""COMPUTED_VALUE"""),"519-433-7876")</f>
        <v>519-433-7876</v>
      </c>
      <c r="L8" s="4"/>
      <c r="M8" s="4" t="str">
        <f>IFERROR(__xludf.DUMMYFUNCTION("""COMPUTED_VALUE"""),"Delivers programs and services to strengthen the positive community impact of individuals, organizations, and entrerprises.")</f>
        <v>Delivers programs and services to strengthen the positive community impact of individuals, organizations, and entrerprises.</v>
      </c>
    </row>
    <row r="9">
      <c r="A9" s="4" t="str">
        <f>IFERROR(__xludf.DUMMYFUNCTION("""COMPUTED_VALUE"""),"Next Canada")</f>
        <v>Next Canada</v>
      </c>
      <c r="B9" s="4" t="str">
        <f>IFERROR(__xludf.DUMMYFUNCTION("""COMPUTED_VALUE"""),"Toronto, ON")</f>
        <v>Toronto, ON</v>
      </c>
      <c r="C9" s="4" t="str">
        <f>IFERROR(__xludf.DUMMYFUNCTION("""COMPUTED_VALUE"""),"175 Bloor St E Suite 1800, Toronto, ON M4W 3R8")</f>
        <v>175 Bloor St E Suite 1800, Toronto, ON M4W 3R8</v>
      </c>
      <c r="D9" s="4">
        <f>IFERROR(__xludf.DUMMYFUNCTION("""COMPUTED_VALUE"""),43.671)</f>
        <v>43.671</v>
      </c>
      <c r="E9" s="4">
        <f>IFERROR(__xludf.DUMMYFUNCTION("""COMPUTED_VALUE"""),-79.383)</f>
        <v>-79.383</v>
      </c>
      <c r="F9" s="4" t="str">
        <f>IFERROR(__xludf.DUMMYFUNCTION("""COMPUTED_VALUE"""),"ON")</f>
        <v>ON</v>
      </c>
      <c r="G9" s="4" t="str">
        <f>IFERROR(__xludf.DUMMYFUNCTION("""COMPUTED_VALUE"""),"Entrepreneurship/Small Business/Non-Profit Support")</f>
        <v>Entrepreneurship/Small Business/Non-Profit Support</v>
      </c>
      <c r="H9" s="4" t="str">
        <f>IFERROR(__xludf.DUMMYFUNCTION("""COMPUTED_VALUE"""),"Founder education, scaling support, mentorship")</f>
        <v>Founder education, scaling support, mentorship</v>
      </c>
      <c r="I9" s="44" t="str">
        <f>IFERROR(__xludf.DUMMYFUNCTION("""COMPUTED_VALUE"""),"https://www.nextcanada.com/")</f>
        <v>https://www.nextcanada.com/</v>
      </c>
      <c r="J9" s="4" t="str">
        <f>IFERROR(__xludf.DUMMYFUNCTION("""COMPUTED_VALUE"""),"info@nextcanada.com")</f>
        <v>info@nextcanada.com</v>
      </c>
      <c r="K9" s="4" t="str">
        <f>IFERROR(__xludf.DUMMYFUNCTION("""COMPUTED_VALUE"""),"-")</f>
        <v>-</v>
      </c>
      <c r="L9" s="4"/>
      <c r="M9" s="4" t="str">
        <f>IFERROR(__xludf.DUMMYFUNCTION("""COMPUTED_VALUE"""),"Entrepreneurial network made up of 500+ top Canadian academics, entrepreneurs, investors, and founders.")</f>
        <v>Entrepreneurial network made up of 500+ top Canadian academics, entrepreneurs, investors, and founders.</v>
      </c>
    </row>
    <row r="10">
      <c r="A10" s="4" t="str">
        <f>IFERROR(__xludf.DUMMYFUNCTION("""COMPUTED_VALUE"""),"Rise")</f>
        <v>Rise</v>
      </c>
      <c r="B10" s="4" t="str">
        <f>IFERROR(__xludf.DUMMYFUNCTION("""COMPUTED_VALUE"""),"Toronto, ON")</f>
        <v>Toronto, ON</v>
      </c>
      <c r="C10" s="4" t="str">
        <f>IFERROR(__xludf.DUMMYFUNCTION("""COMPUTED_VALUE"""),"2 Carlton Street, Suite 1806, Toronto, ON M5B 1J3")</f>
        <v>2 Carlton Street, Suite 1806, Toronto, ON M5B 1J3</v>
      </c>
      <c r="D10" s="4">
        <f>IFERROR(__xludf.DUMMYFUNCTION("""COMPUTED_VALUE"""),43.661681034443)</f>
        <v>43.66168103</v>
      </c>
      <c r="E10" s="4">
        <f>IFERROR(__xludf.DUMMYFUNCTION("""COMPUTED_VALUE"""),-79.3828431135019)</f>
        <v>-79.38284311</v>
      </c>
      <c r="F10" s="4" t="str">
        <f>IFERROR(__xludf.DUMMYFUNCTION("""COMPUTED_VALUE"""),"ON")</f>
        <v>ON</v>
      </c>
      <c r="G10" s="4" t="str">
        <f>IFERROR(__xludf.DUMMYFUNCTION("""COMPUTED_VALUE"""),"Entrepreneurship/Small Business/Non-Profit Support")</f>
        <v>Entrepreneurship/Small Business/Non-Profit Support</v>
      </c>
      <c r="H10" s="4" t="str">
        <f>IFERROR(__xludf.DUMMYFUNCTION("""COMPUTED_VALUE"""),"Various entrepreneurship programs, mentorship low-interest loans, free training programs")</f>
        <v>Various entrepreneurship programs, mentorship low-interest loans, free training programs</v>
      </c>
      <c r="I10" s="44" t="str">
        <f>IFERROR(__xludf.DUMMYFUNCTION("""COMPUTED_VALUE"""),"https://www.risehelps.ca/")</f>
        <v>https://www.risehelps.ca/</v>
      </c>
      <c r="J10" s="4" t="str">
        <f>IFERROR(__xludf.DUMMYFUNCTION("""COMPUTED_VALUE"""),"toronto@risehelps.ca")</f>
        <v>toronto@risehelps.ca</v>
      </c>
      <c r="K10" s="4" t="str">
        <f>IFERROR(__xludf.DUMMYFUNCTION("""COMPUTED_VALUE"""),"647-232-7473")</f>
        <v>647-232-7473</v>
      </c>
      <c r="L10" s="4"/>
      <c r="M10" s="4" t="str">
        <f>IFERROR(__xludf.DUMMYFUNCTION("""COMPUTED_VALUE"""),"National organization dedicated to empowering people with mental health and addiciton challenges to achieve greater social and economic inclusion through entrepreneurship.")</f>
        <v>National organization dedicated to empowering people with mental health and addiciton challenges to achieve greater social and economic inclusion through entrepreneurship.</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I2"/>
    <hyperlink r:id="rId2" ref="I3"/>
    <hyperlink r:id="rId3" ref="I4"/>
    <hyperlink r:id="rId4" ref="I5"/>
    <hyperlink r:id="rId5" ref="I6"/>
    <hyperlink r:id="rId6" ref="I7"/>
    <hyperlink r:id="rId7" ref="I8"/>
    <hyperlink r:id="rId8" ref="I9"/>
    <hyperlink r:id="rId9" ref="I10"/>
  </hyperlinks>
  <printOptions/>
  <pageMargins bottom="0.75" footer="0.0" header="0.0" left="0.7" right="0.7" top="0.75"/>
  <pageSetup orientation="landscape"/>
  <drawing r:id="rId10"/>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4" t="str">
        <f>IFERROR(__xludf.DUMMYFUNCTION("VSTACK('Asset Map - v2'!A1:M1, FILTER('Asset Map - v2'!A:M, 'Asset Map - v2'!G:G=""Business Chamber/Association""))"),"Organization Name")</f>
        <v>Organization Name</v>
      </c>
      <c r="B1" s="4" t="str">
        <f>IFERROR(__xludf.DUMMYFUNCTION("""COMPUTED_VALUE"""),"City")</f>
        <v>City</v>
      </c>
      <c r="C1" s="4" t="str">
        <f>IFERROR(__xludf.DUMMYFUNCTION("""COMPUTED_VALUE"""),"Address")</f>
        <v>Address</v>
      </c>
      <c r="D1" s="4" t="str">
        <f>IFERROR(__xludf.DUMMYFUNCTION("""COMPUTED_VALUE"""),"Latitude")</f>
        <v>Latitude</v>
      </c>
      <c r="E1" s="4" t="str">
        <f>IFERROR(__xludf.DUMMYFUNCTION("""COMPUTED_VALUE"""),"Longitude")</f>
        <v>Longitude</v>
      </c>
      <c r="F1" s="4" t="str">
        <f>IFERROR(__xludf.DUMMYFUNCTION("""COMPUTED_VALUE"""),"Province/State")</f>
        <v>Province/State</v>
      </c>
      <c r="G1" s="4" t="str">
        <f>IFERROR(__xludf.DUMMYFUNCTION("""COMPUTED_VALUE"""),"Sector/Type")</f>
        <v>Sector/Type</v>
      </c>
      <c r="H1" s="4" t="str">
        <f>IFERROR(__xludf.DUMMYFUNCTION("""COMPUTED_VALUE"""),"Services Offered")</f>
        <v>Services Offered</v>
      </c>
      <c r="I1" s="4" t="str">
        <f>IFERROR(__xludf.DUMMYFUNCTION("""COMPUTED_VALUE"""),"Website")</f>
        <v>Website</v>
      </c>
      <c r="J1" s="4" t="str">
        <f>IFERROR(__xludf.DUMMYFUNCTION("""COMPUTED_VALUE"""),"Email Address")</f>
        <v>Email Address</v>
      </c>
      <c r="K1" s="4" t="str">
        <f>IFERROR(__xludf.DUMMYFUNCTION("""COMPUTED_VALUE"""),"Phone Number")</f>
        <v>Phone Number</v>
      </c>
      <c r="L1" s="4" t="str">
        <f>IFERROR(__xludf.DUMMYFUNCTION("""COMPUTED_VALUE"""),"Contact Name")</f>
        <v>Contact Name</v>
      </c>
      <c r="M1" s="4" t="str">
        <f>IFERROR(__xludf.DUMMYFUNCTION("""COMPUTED_VALUE"""),"Notes")</f>
        <v>Notes</v>
      </c>
    </row>
    <row r="2">
      <c r="A2" s="4" t="str">
        <f>IFERROR(__xludf.DUMMYFUNCTION("""COMPUTED_VALUE"""),"Detroit Regional Chamber")</f>
        <v>Detroit Regional Chamber</v>
      </c>
      <c r="B2" s="4" t="str">
        <f>IFERROR(__xludf.DUMMYFUNCTION("""COMPUTED_VALUE"""),"Detroit, MI")</f>
        <v>Detroit, MI</v>
      </c>
      <c r="C2" s="4" t="str">
        <f>IFERROR(__xludf.DUMMYFUNCTION("""COMPUTED_VALUE"""),"777 Woodward Ave, Suite 800, Detroit, MI 48226")</f>
        <v>777 Woodward Ave, Suite 800, Detroit, MI 48226</v>
      </c>
      <c r="D2" s="4">
        <f>IFERROR(__xludf.DUMMYFUNCTION("""COMPUTED_VALUE"""),42.3314)</f>
        <v>42.3314</v>
      </c>
      <c r="E2" s="4">
        <f>IFERROR(__xludf.DUMMYFUNCTION("""COMPUTED_VALUE"""),-83.0474)</f>
        <v>-83.0474</v>
      </c>
      <c r="F2" s="4" t="str">
        <f>IFERROR(__xludf.DUMMYFUNCTION("""COMPUTED_VALUE"""),"MI")</f>
        <v>MI</v>
      </c>
      <c r="G2" s="4" t="str">
        <f>IFERROR(__xludf.DUMMYFUNCTION("""COMPUTED_VALUE"""),"Business Chamber/Association")</f>
        <v>Business Chamber/Association</v>
      </c>
      <c r="H2" s="4" t="str">
        <f>IFERROR(__xludf.DUMMYFUNCTION("""COMPUTED_VALUE"""),"Economic growth, advocacy, leadership, regional collaboration")</f>
        <v>Economic growth, advocacy, leadership, regional collaboration</v>
      </c>
      <c r="I2" s="44" t="str">
        <f>IFERROR(__xludf.DUMMYFUNCTION("""COMPUTED_VALUE"""),"https://www.detroitchamber.com/")</f>
        <v>https://www.detroitchamber.com/</v>
      </c>
      <c r="J2" s="4" t="str">
        <f>IFERROR(__xludf.DUMMYFUNCTION("""COMPUTED_VALUE"""),"lostrow@detroitchamber.com")</f>
        <v>lostrow@detroitchamber.com</v>
      </c>
      <c r="K2" s="4"/>
      <c r="L2" s="4" t="str">
        <f>IFERROR(__xludf.DUMMYFUNCTION("""COMPUTED_VALUE"""),"Lori Ostrow, Vice President, Member and Investor Relations")</f>
        <v>Lori Ostrow, Vice President, Member and Investor Relations</v>
      </c>
      <c r="M2" s="4" t="str">
        <f>IFERROR(__xludf.DUMMYFUNCTION("""COMPUTED_VALUE"""),"Creates a business-friendly climate and drives economic growth.")</f>
        <v>Creates a business-friendly climate and drives economic growth.</v>
      </c>
    </row>
    <row r="3">
      <c r="A3" s="4" t="str">
        <f>IFERROR(__xludf.DUMMYFUNCTION("""COMPUTED_VALUE"""),"Small Business Association of Michigan (SBAM)")</f>
        <v>Small Business Association of Michigan (SBAM)</v>
      </c>
      <c r="B3" s="4" t="str">
        <f>IFERROR(__xludf.DUMMYFUNCTION("""COMPUTED_VALUE"""),"Lansing, MI")</f>
        <v>Lansing, MI</v>
      </c>
      <c r="C3" s="4" t="str">
        <f>IFERROR(__xludf.DUMMYFUNCTION("""COMPUTED_VALUE"""),"101 S. Washington Square Suite 900, Lansing, MI 48933")</f>
        <v>101 S. Washington Square Suite 900, Lansing, MI 48933</v>
      </c>
      <c r="D3" s="4">
        <f>IFERROR(__xludf.DUMMYFUNCTION("""COMPUTED_VALUE"""),42.7333)</f>
        <v>42.7333</v>
      </c>
      <c r="E3" s="4">
        <f>IFERROR(__xludf.DUMMYFUNCTION("""COMPUTED_VALUE"""),-84.5518)</f>
        <v>-84.5518</v>
      </c>
      <c r="F3" s="4" t="str">
        <f>IFERROR(__xludf.DUMMYFUNCTION("""COMPUTED_VALUE"""),"MI")</f>
        <v>MI</v>
      </c>
      <c r="G3" s="4" t="str">
        <f>IFERROR(__xludf.DUMMYFUNCTION("""COMPUTED_VALUE"""),"Business Chamber/Association")</f>
        <v>Business Chamber/Association</v>
      </c>
      <c r="H3" s="4" t="str">
        <f>IFERROR(__xludf.DUMMYFUNCTION("""COMPUTED_VALUE"""),"Advocacy, small business resources, networking")</f>
        <v>Advocacy, small business resources, networking</v>
      </c>
      <c r="I3" s="44" t="str">
        <f>IFERROR(__xludf.DUMMYFUNCTION("""COMPUTED_VALUE"""),"https://www.sbam.org/")</f>
        <v>https://www.sbam.org/</v>
      </c>
      <c r="J3" s="4" t="str">
        <f>IFERROR(__xludf.DUMMYFUNCTION("""COMPUTED_VALUE"""),"michael.brown@sbam.org")</f>
        <v>michael.brown@sbam.org</v>
      </c>
      <c r="K3" s="4" t="str">
        <f>IFERROR(__xludf.DUMMYFUNCTION("""COMPUTED_VALUE"""),"517.492.1234")</f>
        <v>517.492.1234</v>
      </c>
      <c r="L3" s="4" t="str">
        <f>IFERROR(__xludf.DUMMYFUNCTION("""COMPUTED_VALUE"""),"Michael Brown | Chief Operating Officer")</f>
        <v>Michael Brown | Chief Operating Officer</v>
      </c>
      <c r="M3" s="4" t="str">
        <f>IFERROR(__xludf.DUMMYFUNCTION("""COMPUTED_VALUE"""),"Advocates for small businesses, brings business owners together to share knowledge, creates collaboration and partnerships, delivers group buying power.")</f>
        <v>Advocates for small businesses, brings business owners together to share knowledge, creates collaboration and partnerships, delivers group buying power.</v>
      </c>
    </row>
    <row r="4">
      <c r="A4" s="4" t="str">
        <f>IFERROR(__xludf.DUMMYFUNCTION("""COMPUTED_VALUE"""),"Lansing Regional Chamber of Commerce")</f>
        <v>Lansing Regional Chamber of Commerce</v>
      </c>
      <c r="B4" s="4" t="str">
        <f>IFERROR(__xludf.DUMMYFUNCTION("""COMPUTED_VALUE"""),"Lansing, MI")</f>
        <v>Lansing, MI</v>
      </c>
      <c r="C4" s="4" t="str">
        <f>IFERROR(__xludf.DUMMYFUNCTION("""COMPUTED_VALUE"""),"500 E Michigan Ave, Lansing, MI 48912")</f>
        <v>500 E Michigan Ave, Lansing, MI 48912</v>
      </c>
      <c r="D4" s="4">
        <f>IFERROR(__xludf.DUMMYFUNCTION("""COMPUTED_VALUE"""),42.7325)</f>
        <v>42.7325</v>
      </c>
      <c r="E4" s="4">
        <f>IFERROR(__xludf.DUMMYFUNCTION("""COMPUTED_VALUE"""),-84.5419)</f>
        <v>-84.5419</v>
      </c>
      <c r="F4" s="4" t="str">
        <f>IFERROR(__xludf.DUMMYFUNCTION("""COMPUTED_VALUE"""),"MI")</f>
        <v>MI</v>
      </c>
      <c r="G4" s="4" t="str">
        <f>IFERROR(__xludf.DUMMYFUNCTION("""COMPUTED_VALUE"""),"Business Chamber/Association")</f>
        <v>Business Chamber/Association</v>
      </c>
      <c r="H4" s="4" t="str">
        <f>IFERROR(__xludf.DUMMYFUNCTION("""COMPUTED_VALUE"""),"Advocacy, networking, business resources")</f>
        <v>Advocacy, networking, business resources</v>
      </c>
      <c r="I4" s="44" t="str">
        <f>IFERROR(__xludf.DUMMYFUNCTION("""COMPUTED_VALUE"""),"https://www.lansingchamber.org/")</f>
        <v>https://www.lansingchamber.org/</v>
      </c>
      <c r="J4" s="4"/>
      <c r="K4" s="4" t="str">
        <f>IFERROR(__xludf.DUMMYFUNCTION("""COMPUTED_VALUE"""),"517.487.6339")</f>
        <v>517.487.6339</v>
      </c>
      <c r="L4" s="4"/>
      <c r="M4" s="4" t="str">
        <f>IFERROR(__xludf.DUMMYFUNCTION("""COMPUTED_VALUE"""),"Supports Lansing-area businesses to connect, grow, and thrive.")</f>
        <v>Supports Lansing-area businesses to connect, grow, and thrive.</v>
      </c>
    </row>
    <row r="5">
      <c r="A5" s="4" t="str">
        <f>IFERROR(__xludf.DUMMYFUNCTION("""COMPUTED_VALUE"""),"TABIA (Toronto Association of BIAs)")</f>
        <v>TABIA (Toronto Association of BIAs)</v>
      </c>
      <c r="B5" s="4" t="str">
        <f>IFERROR(__xludf.DUMMYFUNCTION("""COMPUTED_VALUE"""),"Toronto, ON")</f>
        <v>Toronto, ON</v>
      </c>
      <c r="C5" s="4" t="str">
        <f>IFERROR(__xludf.DUMMYFUNCTION("""COMPUTED_VALUE"""),"100 Princes’ Blvd, Toronto, ON M6K 3C3")</f>
        <v>100 Princes’ Blvd, Toronto, ON M6K 3C3</v>
      </c>
      <c r="D5" s="4">
        <f>IFERROR(__xludf.DUMMYFUNCTION("""COMPUTED_VALUE"""),43.6353)</f>
        <v>43.6353</v>
      </c>
      <c r="E5" s="4">
        <f>IFERROR(__xludf.DUMMYFUNCTION("""COMPUTED_VALUE"""),-79.4111)</f>
        <v>-79.4111</v>
      </c>
      <c r="F5" s="4" t="str">
        <f>IFERROR(__xludf.DUMMYFUNCTION("""COMPUTED_VALUE"""),"ON")</f>
        <v>ON</v>
      </c>
      <c r="G5" s="4" t="str">
        <f>IFERROR(__xludf.DUMMYFUNCTION("""COMPUTED_VALUE"""),"Business Chamber/Association")</f>
        <v>Business Chamber/Association</v>
      </c>
      <c r="H5" s="4" t="str">
        <f>IFERROR(__xludf.DUMMYFUNCTION("""COMPUTED_VALUE"""),"Support for 84 BIAs, marketing, policy advocacy")</f>
        <v>Support for 84 BIAs, marketing, policy advocacy</v>
      </c>
      <c r="I5" s="44" t="str">
        <f>IFERROR(__xludf.DUMMYFUNCTION("""COMPUTED_VALUE"""),"https://www.toronto-bia.com/")</f>
        <v>https://www.toronto-bia.com/</v>
      </c>
      <c r="J5" s="4" t="str">
        <f>IFERROR(__xludf.DUMMYFUNCTION("""COMPUTED_VALUE"""),"info@toronto-bia.com")</f>
        <v>info@toronto-bia.com</v>
      </c>
      <c r="K5" s="4" t="str">
        <f>IFERROR(__xludf.DUMMYFUNCTION("""COMPUTED_VALUE"""),"416-263-3229")</f>
        <v>416-263-3229</v>
      </c>
      <c r="L5" s="4"/>
      <c r="M5" s="4" t="str">
        <f>IFERROR(__xludf.DUMMYFUNCTION("""COMPUTED_VALUE"""),"The voice of Toronto's BIAs.")</f>
        <v>The voice of Toronto's BIAs.</v>
      </c>
    </row>
    <row r="6">
      <c r="A6" s="4" t="str">
        <f>IFERROR(__xludf.DUMMYFUNCTION("""COMPUTED_VALUE"""),"Ontario Chamber of Commerce")</f>
        <v>Ontario Chamber of Commerce</v>
      </c>
      <c r="B6" s="4" t="str">
        <f>IFERROR(__xludf.DUMMYFUNCTION("""COMPUTED_VALUE"""),"Toronto, ON")</f>
        <v>Toronto, ON</v>
      </c>
      <c r="C6" s="4" t="str">
        <f>IFERROR(__xludf.DUMMYFUNCTION("""COMPUTED_VALUE"""),"180 Dundas St W, Toronto, ON M5G 1Z8")</f>
        <v>180 Dundas St W, Toronto, ON M5G 1Z8</v>
      </c>
      <c r="D6" s="4">
        <f>IFERROR(__xludf.DUMMYFUNCTION("""COMPUTED_VALUE"""),43.6554)</f>
        <v>43.6554</v>
      </c>
      <c r="E6" s="4">
        <f>IFERROR(__xludf.DUMMYFUNCTION("""COMPUTED_VALUE"""),-79.3864)</f>
        <v>-79.3864</v>
      </c>
      <c r="F6" s="4" t="str">
        <f>IFERROR(__xludf.DUMMYFUNCTION("""COMPUTED_VALUE"""),"ON")</f>
        <v>ON</v>
      </c>
      <c r="G6" s="4" t="str">
        <f>IFERROR(__xludf.DUMMYFUNCTION("""COMPUTED_VALUE"""),"Business Chamber/Association")</f>
        <v>Business Chamber/Association</v>
      </c>
      <c r="H6" s="4" t="str">
        <f>IFERROR(__xludf.DUMMYFUNCTION("""COMPUTED_VALUE"""),"Policy, member support, promotion, provincial business representation")</f>
        <v>Policy, member support, promotion, provincial business representation</v>
      </c>
      <c r="I6" s="44" t="str">
        <f>IFERROR(__xludf.DUMMYFUNCTION("""COMPUTED_VALUE"""),"https://occ.ca/")</f>
        <v>https://occ.ca/</v>
      </c>
      <c r="J6" s="4" t="str">
        <f>IFERROR(__xludf.DUMMYFUNCTION("""COMPUTED_VALUE"""),"lisakelly@occ.ca")</f>
        <v>lisakelly@occ.ca</v>
      </c>
      <c r="K6" s="4" t="str">
        <f>IFERROR(__xludf.DUMMYFUNCTION("""COMPUTED_VALUE"""),"416-482-5222")</f>
        <v>416-482-5222</v>
      </c>
      <c r="L6" s="4" t="str">
        <f>IFERROR(__xludf.DUMMYFUNCTION("""COMPUTED_VALUE"""),"Lisa Kelly, Business Development Manager")</f>
        <v>Lisa Kelly, Business Development Manager</v>
      </c>
      <c r="M6" s="4" t="str">
        <f>IFERROR(__xludf.DUMMYFUNCTION("""COMPUTED_VALUE"""),"Independent, non-profit advocacy and member services organization representing a diverse network of 60,000 members.")</f>
        <v>Independent, non-profit advocacy and member services organization representing a diverse network of 60,000 members.</v>
      </c>
    </row>
    <row r="7">
      <c r="A7" s="4" t="str">
        <f>IFERROR(__xludf.DUMMYFUNCTION("""COMPUTED_VALUE"""),"Windsor-Essex Regional Chamber of Commerce")</f>
        <v>Windsor-Essex Regional Chamber of Commerce</v>
      </c>
      <c r="B7" s="4" t="str">
        <f>IFERROR(__xludf.DUMMYFUNCTION("""COMPUTED_VALUE"""),"Windsor, ON")</f>
        <v>Windsor, ON</v>
      </c>
      <c r="C7" s="4" t="str">
        <f>IFERROR(__xludf.DUMMYFUNCTION("""COMPUTED_VALUE"""),"2565 Ouellette Ave. Suite 101, Windsor, ON N8X 1L9")</f>
        <v>2565 Ouellette Ave. Suite 101, Windsor, ON N8X 1L9</v>
      </c>
      <c r="D7" s="4">
        <f>IFERROR(__xludf.DUMMYFUNCTION("""COMPUTED_VALUE"""),42.28499)</f>
        <v>42.28499</v>
      </c>
      <c r="E7" s="4">
        <f>IFERROR(__xludf.DUMMYFUNCTION("""COMPUTED_VALUE"""),-83.01847)</f>
        <v>-83.01847</v>
      </c>
      <c r="F7" s="4" t="str">
        <f>IFERROR(__xludf.DUMMYFUNCTION("""COMPUTED_VALUE"""),"ON")</f>
        <v>ON</v>
      </c>
      <c r="G7" s="4" t="str">
        <f>IFERROR(__xludf.DUMMYFUNCTION("""COMPUTED_VALUE"""),"Business Chamber/Association")</f>
        <v>Business Chamber/Association</v>
      </c>
      <c r="H7" s="4" t="str">
        <f>IFERROR(__xludf.DUMMYFUNCTION("""COMPUTED_VALUE"""),"Local business, Economic development")</f>
        <v>Local business, Economic development</v>
      </c>
      <c r="I7" s="44" t="str">
        <f>IFERROR(__xludf.DUMMYFUNCTION("""COMPUTED_VALUE"""),"https://wechamber.org/")</f>
        <v>https://wechamber.org/</v>
      </c>
      <c r="J7" s="4" t="str">
        <f>IFERROR(__xludf.DUMMYFUNCTION("""COMPUTED_VALUE"""),"mdumouchel@windsoressexchamber.org")</f>
        <v>mdumouchel@windsoressexchamber.org</v>
      </c>
      <c r="K7" s="4" t="str">
        <f>IFERROR(__xludf.DUMMYFUNCTION("""COMPUTED_VALUE"""),"519-966-3696 x. 230")</f>
        <v>519-966-3696 x. 230</v>
      </c>
      <c r="L7" s="4" t="str">
        <f>IFERROR(__xludf.DUMMYFUNCTION("""COMPUTED_VALUE"""),"Matthew Dumouchel, Director of Operations")</f>
        <v>Matthew Dumouchel, Director of Operations</v>
      </c>
      <c r="M7" s="4" t="str">
        <f>IFERROR(__xludf.DUMMYFUNCTION("""COMPUTED_VALUE"""),"Offers resources, advocacy, and a powerful network to help your business grow and prosper.")</f>
        <v>Offers resources, advocacy, and a powerful network to help your business grow and prosper.</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I2"/>
    <hyperlink r:id="rId2" ref="I3"/>
    <hyperlink r:id="rId3" ref="I4"/>
    <hyperlink r:id="rId4" ref="I5"/>
    <hyperlink r:id="rId5" ref="I6"/>
    <hyperlink r:id="rId6" ref="I7"/>
  </hyperlinks>
  <printOptions/>
  <pageMargins bottom="0.75" footer="0.0" header="0.0" left="0.7" right="0.7" top="0.75"/>
  <pageSetup orientation="landscape"/>
  <drawing r:id="rId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4" t="str">
        <f>IFERROR(__xludf.DUMMYFUNCTION("VSTACK('Asset Map - v2'!A1:M1, FILTER('Asset Map - v2'!A:M, 'Asset Map - v2'!G:G=""Economic Development""))"),"Organization Name")</f>
        <v>Organization Name</v>
      </c>
      <c r="B1" s="4" t="str">
        <f>IFERROR(__xludf.DUMMYFUNCTION("""COMPUTED_VALUE"""),"City")</f>
        <v>City</v>
      </c>
      <c r="C1" s="4" t="str">
        <f>IFERROR(__xludf.DUMMYFUNCTION("""COMPUTED_VALUE"""),"Address")</f>
        <v>Address</v>
      </c>
      <c r="D1" s="4" t="str">
        <f>IFERROR(__xludf.DUMMYFUNCTION("""COMPUTED_VALUE"""),"Latitude")</f>
        <v>Latitude</v>
      </c>
      <c r="E1" s="4" t="str">
        <f>IFERROR(__xludf.DUMMYFUNCTION("""COMPUTED_VALUE"""),"Longitude")</f>
        <v>Longitude</v>
      </c>
      <c r="F1" s="4" t="str">
        <f>IFERROR(__xludf.DUMMYFUNCTION("""COMPUTED_VALUE"""),"Province/State")</f>
        <v>Province/State</v>
      </c>
      <c r="G1" s="4" t="str">
        <f>IFERROR(__xludf.DUMMYFUNCTION("""COMPUTED_VALUE"""),"Sector/Type")</f>
        <v>Sector/Type</v>
      </c>
      <c r="H1" s="4" t="str">
        <f>IFERROR(__xludf.DUMMYFUNCTION("""COMPUTED_VALUE"""),"Services Offered")</f>
        <v>Services Offered</v>
      </c>
      <c r="I1" s="4" t="str">
        <f>IFERROR(__xludf.DUMMYFUNCTION("""COMPUTED_VALUE"""),"Website")</f>
        <v>Website</v>
      </c>
      <c r="J1" s="4" t="str">
        <f>IFERROR(__xludf.DUMMYFUNCTION("""COMPUTED_VALUE"""),"Email Address")</f>
        <v>Email Address</v>
      </c>
      <c r="K1" s="4" t="str">
        <f>IFERROR(__xludf.DUMMYFUNCTION("""COMPUTED_VALUE"""),"Phone Number")</f>
        <v>Phone Number</v>
      </c>
      <c r="L1" s="4" t="str">
        <f>IFERROR(__xludf.DUMMYFUNCTION("""COMPUTED_VALUE"""),"Contact Name")</f>
        <v>Contact Name</v>
      </c>
      <c r="M1" s="4" t="str">
        <f>IFERROR(__xludf.DUMMYFUNCTION("""COMPUTED_VALUE"""),"Notes")</f>
        <v>Notes</v>
      </c>
    </row>
    <row r="2">
      <c r="A2" s="4" t="str">
        <f>IFERROR(__xludf.DUMMYFUNCTION("""COMPUTED_VALUE"""),"Ann Arbor SPARK")</f>
        <v>Ann Arbor SPARK</v>
      </c>
      <c r="B2" s="4" t="str">
        <f>IFERROR(__xludf.DUMMYFUNCTION("""COMPUTED_VALUE"""),"Ann Arbor, MI")</f>
        <v>Ann Arbor, MI</v>
      </c>
      <c r="C2" s="4" t="str">
        <f>IFERROR(__xludf.DUMMYFUNCTION("""COMPUTED_VALUE"""),"330 E Liberty St, Ann Arbor, MI 48104")</f>
        <v>330 E Liberty St, Ann Arbor, MI 48104</v>
      </c>
      <c r="D2" s="4">
        <f>IFERROR(__xludf.DUMMYFUNCTION("""COMPUTED_VALUE"""),42.2796)</f>
        <v>42.2796</v>
      </c>
      <c r="E2" s="4">
        <f>IFERROR(__xludf.DUMMYFUNCTION("""COMPUTED_VALUE"""),-83.7454)</f>
        <v>-83.7454</v>
      </c>
      <c r="F2" s="4" t="str">
        <f>IFERROR(__xludf.DUMMYFUNCTION("""COMPUTED_VALUE"""),"MI")</f>
        <v>MI</v>
      </c>
      <c r="G2" s="4" t="str">
        <f>IFERROR(__xludf.DUMMYFUNCTION("""COMPUTED_VALUE"""),"Economic Development")</f>
        <v>Economic Development</v>
      </c>
      <c r="H2" s="4" t="str">
        <f>IFERROR(__xludf.DUMMYFUNCTION("""COMPUTED_VALUE"""),"Startup support, tech incubation, business expansion")</f>
        <v>Startup support, tech incubation, business expansion</v>
      </c>
      <c r="I2" s="44" t="str">
        <f>IFERROR(__xludf.DUMMYFUNCTION("""COMPUTED_VALUE"""),"https://annarborusa.org/")</f>
        <v>https://annarborusa.org/</v>
      </c>
      <c r="J2" s="4" t="str">
        <f>IFERROR(__xludf.DUMMYFUNCTION("""COMPUTED_VALUE"""),"phil@annarborusa.org")</f>
        <v>phil@annarborusa.org</v>
      </c>
      <c r="K2" s="4"/>
      <c r="L2" s="4" t="str">
        <f>IFERROR(__xludf.DUMMYFUNCTION("""COMPUTED_VALUE"""),"Phil Santer")</f>
        <v>Phil Santer</v>
      </c>
      <c r="M2" s="4" t="str">
        <f>IFERROR(__xludf.DUMMYFUNCTION("""COMPUTED_VALUE"""),"Startup support, tech incubation, business expansion")</f>
        <v>Startup support, tech incubation, business expansion</v>
      </c>
    </row>
    <row r="3">
      <c r="A3" s="4" t="str">
        <f>IFERROR(__xludf.DUMMYFUNCTION("""COMPUTED_VALUE"""),"Michigan Economic Development Corporation (MEDC)")</f>
        <v>Michigan Economic Development Corporation (MEDC)</v>
      </c>
      <c r="B3" s="4" t="str">
        <f>IFERROR(__xludf.DUMMYFUNCTION("""COMPUTED_VALUE"""),"Lansing, MI")</f>
        <v>Lansing, MI</v>
      </c>
      <c r="C3" s="4" t="str">
        <f>IFERROR(__xludf.DUMMYFUNCTION("""COMPUTED_VALUE"""),"300 N Washington Sq, Lansing, MI 48913")</f>
        <v>300 N Washington Sq, Lansing, MI 48913</v>
      </c>
      <c r="D3" s="4">
        <f>IFERROR(__xludf.DUMMYFUNCTION("""COMPUTED_VALUE"""),42.7362)</f>
        <v>42.7362</v>
      </c>
      <c r="E3" s="4">
        <f>IFERROR(__xludf.DUMMYFUNCTION("""COMPUTED_VALUE"""),-84.5513)</f>
        <v>-84.5513</v>
      </c>
      <c r="F3" s="4" t="str">
        <f>IFERROR(__xludf.DUMMYFUNCTION("""COMPUTED_VALUE"""),"MI")</f>
        <v>MI</v>
      </c>
      <c r="G3" s="4" t="str">
        <f>IFERROR(__xludf.DUMMYFUNCTION("""COMPUTED_VALUE"""),"Economic Development")</f>
        <v>Economic Development</v>
      </c>
      <c r="H3" s="4" t="str">
        <f>IFERROR(__xludf.DUMMYFUNCTION("""COMPUTED_VALUE"""),"Business attraction, incentives, community development")</f>
        <v>Business attraction, incentives, community development</v>
      </c>
      <c r="I3" s="44" t="str">
        <f>IFERROR(__xludf.DUMMYFUNCTION("""COMPUTED_VALUE"""),"https://www.michiganbusiness.org/")</f>
        <v>https://www.michiganbusiness.org/</v>
      </c>
      <c r="J3" s="4" t="str">
        <f>IFERROR(__xludf.DUMMYFUNCTION("""COMPUTED_VALUE"""),"grinnellm@michigan.org")</f>
        <v>grinnellm@michigan.org</v>
      </c>
      <c r="K3" s="4"/>
      <c r="L3" s="4" t="str">
        <f>IFERROR(__xludf.DUMMYFUNCTION("""COMPUTED_VALUE"""),"Michelle Grinnell, Chief Communications &amp; Attraction Officer")</f>
        <v>Michelle Grinnell, Chief Communications &amp; Attraction Officer</v>
      </c>
      <c r="M3" s="4" t="str">
        <f>IFERROR(__xludf.DUMMYFUNCTION("""COMPUTED_VALUE"""),"Assists businesses in their growth strategies and fosters the growth of vibrant communities across the state.")</f>
        <v>Assists businesses in their growth strategies and fosters the growth of vibrant communities across the state.</v>
      </c>
    </row>
    <row r="4">
      <c r="A4" s="4" t="str">
        <f>IFERROR(__xludf.DUMMYFUNCTION("""COMPUTED_VALUE"""),"Global Epicenter of Mobility")</f>
        <v>Global Epicenter of Mobility</v>
      </c>
      <c r="B4" s="4" t="str">
        <f>IFERROR(__xludf.DUMMYFUNCTION("""COMPUTED_VALUE"""),"Detroit, MI")</f>
        <v>Detroit, MI</v>
      </c>
      <c r="C4" s="4" t="str">
        <f>IFERROR(__xludf.DUMMYFUNCTION("""COMPUTED_VALUE"""),"2050 15th St, Detroit, MI 48216")</f>
        <v>2050 15th St, Detroit, MI 48216</v>
      </c>
      <c r="D4" s="4">
        <f>IFERROR(__xludf.DUMMYFUNCTION("""COMPUTED_VALUE"""),42.3258)</f>
        <v>42.3258</v>
      </c>
      <c r="E4" s="4">
        <f>IFERROR(__xludf.DUMMYFUNCTION("""COMPUTED_VALUE"""),-83.0735)</f>
        <v>-83.0735</v>
      </c>
      <c r="F4" s="4" t="str">
        <f>IFERROR(__xludf.DUMMYFUNCTION("""COMPUTED_VALUE"""),"MI")</f>
        <v>MI</v>
      </c>
      <c r="G4" s="4" t="str">
        <f>IFERROR(__xludf.DUMMYFUNCTION("""COMPUTED_VALUE"""),"Economic Development")</f>
        <v>Economic Development</v>
      </c>
      <c r="H4" s="4" t="str">
        <f>IFERROR(__xludf.DUMMYFUNCTION("""COMPUTED_VALUE"""),"Mobility innovation, startups")</f>
        <v>Mobility innovation, startups</v>
      </c>
      <c r="I4" s="44" t="str">
        <f>IFERROR(__xludf.DUMMYFUNCTION("""COMPUTED_VALUE"""),"https://gemdetroitregion.com/")</f>
        <v>https://gemdetroitregion.com/</v>
      </c>
      <c r="J4" s="4"/>
      <c r="K4" s="4"/>
      <c r="L4" s="4"/>
      <c r="M4" s="4" t="str">
        <f>IFERROR(__xludf.DUMMYFUNCTION("""COMPUTED_VALUE"""),"Creates a smart, secure, sustainable, and advanced mobility industry, starting with the transition to next-generation electric, autonomous, and fully connected vehicles.")</f>
        <v>Creates a smart, secure, sustainable, and advanced mobility industry, starting with the transition to next-generation electric, autonomous, and fully connected vehicles.</v>
      </c>
    </row>
    <row r="5">
      <c r="A5" s="4" t="str">
        <f>IFERROR(__xludf.DUMMYFUNCTION("""COMPUTED_VALUE"""),"Economic Development Services - Chatham-Kent")</f>
        <v>Economic Development Services - Chatham-Kent</v>
      </c>
      <c r="B5" s="4" t="str">
        <f>IFERROR(__xludf.DUMMYFUNCTION("""COMPUTED_VALUE"""),"Chatham, ON")</f>
        <v>Chatham, ON</v>
      </c>
      <c r="C5" s="4" t="str">
        <f>IFERROR(__xludf.DUMMYFUNCTION("""COMPUTED_VALUE"""),"124 Thames St, Chatham, ON N7L 2Y8")</f>
        <v>124 Thames St, Chatham, ON N7L 2Y8</v>
      </c>
      <c r="D5" s="4">
        <f>IFERROR(__xludf.DUMMYFUNCTION("""COMPUTED_VALUE"""),42.4084)</f>
        <v>42.4084</v>
      </c>
      <c r="E5" s="4">
        <f>IFERROR(__xludf.DUMMYFUNCTION("""COMPUTED_VALUE"""),-82.1853)</f>
        <v>-82.1853</v>
      </c>
      <c r="F5" s="4" t="str">
        <f>IFERROR(__xludf.DUMMYFUNCTION("""COMPUTED_VALUE"""),"ON")</f>
        <v>ON</v>
      </c>
      <c r="G5" s="4" t="str">
        <f>IFERROR(__xludf.DUMMYFUNCTION("""COMPUTED_VALUE"""),"Economic Development")</f>
        <v>Economic Development</v>
      </c>
      <c r="H5" s="4" t="str">
        <f>IFERROR(__xludf.DUMMYFUNCTION("""COMPUTED_VALUE"""),"Business support, investment attraction, site selection")</f>
        <v>Business support, investment attraction, site selection</v>
      </c>
      <c r="I5" s="44" t="str">
        <f>IFERROR(__xludf.DUMMYFUNCTION("""COMPUTED_VALUE"""),"https://www.chatham-kent.ca/EconomicDevelopment/Pages/default.aspx")</f>
        <v>https://www.chatham-kent.ca/EconomicDevelopment/Pages/default.aspx</v>
      </c>
      <c r="J5" s="4" t="str">
        <f>IFERROR(__xludf.DUMMYFUNCTION("""COMPUTED_VALUE"""),"ckeds@chatham-kent.ca")</f>
        <v>ckeds@chatham-kent.ca</v>
      </c>
      <c r="K5" s="4" t="str">
        <f>IFERROR(__xludf.DUMMYFUNCTION("""COMPUTED_VALUE"""),"1-866-542-5994")</f>
        <v>1-866-542-5994</v>
      </c>
      <c r="L5" s="4"/>
      <c r="M5" s="4" t="str">
        <f>IFERROR(__xludf.DUMMYFUNCTION("""COMPUTED_VALUE"""),"Municipal EDO for Chatham-Kent. Resources for businesses and small businesses, programs &amp; grants available.")</f>
        <v>Municipal EDO for Chatham-Kent. Resources for businesses and small businesses, programs &amp; grants available.</v>
      </c>
    </row>
    <row r="6">
      <c r="A6" s="4" t="str">
        <f>IFERROR(__xludf.DUMMYFUNCTION("""COMPUTED_VALUE"""),"London Economic Development Corporation (LEDC)")</f>
        <v>London Economic Development Corporation (LEDC)</v>
      </c>
      <c r="B6" s="4" t="str">
        <f>IFERROR(__xludf.DUMMYFUNCTION("""COMPUTED_VALUE"""),"London, ON")</f>
        <v>London, ON</v>
      </c>
      <c r="C6" s="4" t="str">
        <f>IFERROR(__xludf.DUMMYFUNCTION("""COMPUTED_VALUE"""),"380 Wellington St Suite 701, London, ON N6A 5B5")</f>
        <v>380 Wellington St Suite 701, London, ON N6A 5B5</v>
      </c>
      <c r="D6" s="4">
        <f>IFERROR(__xludf.DUMMYFUNCTION("""COMPUTED_VALUE"""),42.9849)</f>
        <v>42.9849</v>
      </c>
      <c r="E6" s="4">
        <f>IFERROR(__xludf.DUMMYFUNCTION("""COMPUTED_VALUE"""),-81.2497)</f>
        <v>-81.2497</v>
      </c>
      <c r="F6" s="4" t="str">
        <f>IFERROR(__xludf.DUMMYFUNCTION("""COMPUTED_VALUE"""),"ON")</f>
        <v>ON</v>
      </c>
      <c r="G6" s="4" t="str">
        <f>IFERROR(__xludf.DUMMYFUNCTION("""COMPUTED_VALUE"""),"Economic Development")</f>
        <v>Economic Development</v>
      </c>
      <c r="H6" s="4" t="str">
        <f>IFERROR(__xludf.DUMMYFUNCTION("""COMPUTED_VALUE"""),"Business attraction/retention, cluster support")</f>
        <v>Business attraction/retention, cluster support</v>
      </c>
      <c r="I6" s="44" t="str">
        <f>IFERROR(__xludf.DUMMYFUNCTION("""COMPUTED_VALUE"""),"https://www.ledc.com/")</f>
        <v>https://www.ledc.com/</v>
      </c>
      <c r="J6" s="4" t="str">
        <f>IFERROR(__xludf.DUMMYFUNCTION("""COMPUTED_VALUE"""),"-")</f>
        <v>-</v>
      </c>
      <c r="K6" s="4" t="str">
        <f>IFERROR(__xludf.DUMMYFUNCTION("""COMPUTED_VALUE"""),"519-661-4545 or 800-327-2428")</f>
        <v>519-661-4545 or 800-327-2428</v>
      </c>
      <c r="L6" s="4"/>
      <c r="M6" s="4" t="str">
        <f>IFERROR(__xludf.DUMMYFUNCTION("""COMPUTED_VALUE"""),"Works with existing businesses in London and businesses considering expanding to London in the agri-food, manufacturing, digital media and tech, health, and professional services sectors.")</f>
        <v>Works with existing businesses in London and businesses considering expanding to London in the agri-food, manufacturing, digital media and tech, health, and professional services sectors.</v>
      </c>
    </row>
    <row r="7">
      <c r="A7" s="4" t="str">
        <f>IFERROR(__xludf.DUMMYFUNCTION("""COMPUTED_VALUE"""),"Invest WindsorEssex")</f>
        <v>Invest WindsorEssex</v>
      </c>
      <c r="B7" s="4" t="str">
        <f>IFERROR(__xludf.DUMMYFUNCTION("""COMPUTED_VALUE"""),"Windsor, ON")</f>
        <v>Windsor, ON</v>
      </c>
      <c r="C7" s="4" t="str">
        <f>IFERROR(__xludf.DUMMYFUNCTION("""COMPUTED_VALUE"""),"119 Chatham St. W., Windsor, ON N9A 5M7")</f>
        <v>119 Chatham St. W., Windsor, ON N9A 5M7</v>
      </c>
      <c r="D7" s="4">
        <f>IFERROR(__xludf.DUMMYFUNCTION("""COMPUTED_VALUE"""),42.3178)</f>
        <v>42.3178</v>
      </c>
      <c r="E7" s="4">
        <f>IFERROR(__xludf.DUMMYFUNCTION("""COMPUTED_VALUE"""),-83.0405)</f>
        <v>-83.0405</v>
      </c>
      <c r="F7" s="4" t="str">
        <f>IFERROR(__xludf.DUMMYFUNCTION("""COMPUTED_VALUE"""),"ON")</f>
        <v>ON</v>
      </c>
      <c r="G7" s="4" t="str">
        <f>IFERROR(__xludf.DUMMYFUNCTION("""COMPUTED_VALUE"""),"Economic Development")</f>
        <v>Economic Development</v>
      </c>
      <c r="H7" s="4" t="str">
        <f>IFERROR(__xludf.DUMMYFUNCTION("""COMPUTED_VALUE"""),"Business attraction, mobility innovation, site selection")</f>
        <v>Business attraction, mobility innovation, site selection</v>
      </c>
      <c r="I7" s="44" t="str">
        <f>IFERROR(__xludf.DUMMYFUNCTION("""COMPUTED_VALUE"""),"https://www.investwindsoressex.com/")</f>
        <v>https://www.investwindsoressex.com/</v>
      </c>
      <c r="J7" s="4" t="str">
        <f>IFERROR(__xludf.DUMMYFUNCTION("""COMPUTED_VALUE"""),"info@InvestWindsorEssex.com")</f>
        <v>info@InvestWindsorEssex.com</v>
      </c>
      <c r="K7" s="4" t="str">
        <f>IFERROR(__xludf.DUMMYFUNCTION("""COMPUTED_VALUE"""),"519-255-9987")</f>
        <v>519-255-9987</v>
      </c>
      <c r="L7" s="4"/>
      <c r="M7" s="4" t="str">
        <f>IFERROR(__xludf.DUMMYFUNCTION("""COMPUTED_VALUE"""),"Not-for-profit organization suppoted by the City of Windsor and County of Essex, responsibile for advancing economic development to grow and sustain prosperity in the region.")</f>
        <v>Not-for-profit organization suppoted by the City of Windsor and County of Essex, responsibile for advancing economic development to grow and sustain prosperity in the region.</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I2"/>
    <hyperlink r:id="rId2" ref="I3"/>
    <hyperlink r:id="rId3" ref="I4"/>
    <hyperlink r:id="rId4" ref="I5"/>
    <hyperlink r:id="rId5" ref="I6"/>
    <hyperlink r:id="rId6" ref="I7"/>
  </hyperlinks>
  <printOptions/>
  <pageMargins bottom="0.75" footer="0.0" header="0.0" left="0.7" right="0.7" top="0.75"/>
  <pageSetup orientation="landscape"/>
  <drawing r:id="rId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4" t="str">
        <f>IFERROR(__xludf.DUMMYFUNCTION("VSTACK('Asset Map - v2'!A1:M1, FILTER('Asset Map - v2'!A:M, 'Asset Map - v2'!G:G=""Government Program - Business Centre""))"),"Organization Name")</f>
        <v>Organization Name</v>
      </c>
      <c r="B1" s="4" t="str">
        <f>IFERROR(__xludf.DUMMYFUNCTION("""COMPUTED_VALUE"""),"City")</f>
        <v>City</v>
      </c>
      <c r="C1" s="4" t="str">
        <f>IFERROR(__xludf.DUMMYFUNCTION("""COMPUTED_VALUE"""),"Address")</f>
        <v>Address</v>
      </c>
      <c r="D1" s="4" t="str">
        <f>IFERROR(__xludf.DUMMYFUNCTION("""COMPUTED_VALUE"""),"Latitude")</f>
        <v>Latitude</v>
      </c>
      <c r="E1" s="4" t="str">
        <f>IFERROR(__xludf.DUMMYFUNCTION("""COMPUTED_VALUE"""),"Longitude")</f>
        <v>Longitude</v>
      </c>
      <c r="F1" s="4" t="str">
        <f>IFERROR(__xludf.DUMMYFUNCTION("""COMPUTED_VALUE"""),"Province/State")</f>
        <v>Province/State</v>
      </c>
      <c r="G1" s="4" t="str">
        <f>IFERROR(__xludf.DUMMYFUNCTION("""COMPUTED_VALUE"""),"Sector/Type")</f>
        <v>Sector/Type</v>
      </c>
      <c r="H1" s="4" t="str">
        <f>IFERROR(__xludf.DUMMYFUNCTION("""COMPUTED_VALUE"""),"Services Offered")</f>
        <v>Services Offered</v>
      </c>
      <c r="I1" s="4" t="str">
        <f>IFERROR(__xludf.DUMMYFUNCTION("""COMPUTED_VALUE"""),"Website")</f>
        <v>Website</v>
      </c>
      <c r="J1" s="4" t="str">
        <f>IFERROR(__xludf.DUMMYFUNCTION("""COMPUTED_VALUE"""),"Email Address")</f>
        <v>Email Address</v>
      </c>
      <c r="K1" s="4" t="str">
        <f>IFERROR(__xludf.DUMMYFUNCTION("""COMPUTED_VALUE"""),"Phone Number")</f>
        <v>Phone Number</v>
      </c>
      <c r="L1" s="4" t="str">
        <f>IFERROR(__xludf.DUMMYFUNCTION("""COMPUTED_VALUE"""),"Contact Name")</f>
        <v>Contact Name</v>
      </c>
      <c r="M1" s="4" t="str">
        <f>IFERROR(__xludf.DUMMYFUNCTION("""COMPUTED_VALUE"""),"Notes")</f>
        <v>Notes</v>
      </c>
    </row>
    <row r="2">
      <c r="A2" s="4" t="str">
        <f>IFERROR(__xludf.DUMMYFUNCTION("""COMPUTED_VALUE"""),"Brampton Entrepreneur Centre")</f>
        <v>Brampton Entrepreneur Centre</v>
      </c>
      <c r="B2" s="4" t="str">
        <f>IFERROR(__xludf.DUMMYFUNCTION("""COMPUTED_VALUE"""),"Brampton, ON")</f>
        <v>Brampton, ON</v>
      </c>
      <c r="C2" s="4" t="str">
        <f>IFERROR(__xludf.DUMMYFUNCTION("""COMPUTED_VALUE"""),"41 George St S, Brampton, ON L6Y 2E1")</f>
        <v>41 George St S, Brampton, ON L6Y 2E1</v>
      </c>
      <c r="D2" s="4">
        <f>IFERROR(__xludf.DUMMYFUNCTION("""COMPUTED_VALUE"""),43.6845)</f>
        <v>43.6845</v>
      </c>
      <c r="E2" s="4">
        <f>IFERROR(__xludf.DUMMYFUNCTION("""COMPUTED_VALUE"""),-79.7604)</f>
        <v>-79.7604</v>
      </c>
      <c r="F2" s="4" t="str">
        <f>IFERROR(__xludf.DUMMYFUNCTION("""COMPUTED_VALUE"""),"ON")</f>
        <v>ON</v>
      </c>
      <c r="G2" s="4" t="str">
        <f>IFERROR(__xludf.DUMMYFUNCTION("""COMPUTED_VALUE"""),"Government Program - Business Centre")</f>
        <v>Government Program - Business Centre</v>
      </c>
      <c r="H2" s="4" t="str">
        <f>IFERROR(__xludf.DUMMYFUNCTION("""COMPUTED_VALUE"""),"Workshops, one-on-one help, resources, coworking")</f>
        <v>Workshops, one-on-one help, resources, coworking</v>
      </c>
      <c r="I2" s="44" t="str">
        <f>IFERROR(__xludf.DUMMYFUNCTION("""COMPUTED_VALUE"""),"https://www.brampton.ca/EN/Business/BEC/Pages/Welcome.aspx")</f>
        <v>https://www.brampton.ca/EN/Business/BEC/Pages/Welcome.aspx</v>
      </c>
      <c r="J2" s="4" t="str">
        <f>IFERROR(__xludf.DUMMYFUNCTION("""COMPUTED_VALUE"""),"bec@brampton.ca")</f>
        <v>bec@brampton.ca</v>
      </c>
      <c r="K2" s="4" t="str">
        <f>IFERROR(__xludf.DUMMYFUNCTION("""COMPUTED_VALUE"""),"905-874-2650")</f>
        <v>905-874-2650</v>
      </c>
      <c r="L2" s="4"/>
      <c r="M2" s="4" t="str">
        <f>IFERROR(__xludf.DUMMYFUNCTION("""COMPUTED_VALUE"""),"City-run source for small business information, resources, and guidance.")</f>
        <v>City-run source for small business information, resources, and guidance.</v>
      </c>
    </row>
    <row r="3">
      <c r="A3" s="4" t="str">
        <f>IFERROR(__xludf.DUMMYFUNCTION("""COMPUTED_VALUE"""),"Hamilton Business Centre")</f>
        <v>Hamilton Business Centre</v>
      </c>
      <c r="B3" s="4" t="str">
        <f>IFERROR(__xludf.DUMMYFUNCTION("""COMPUTED_VALUE"""),"Hamilton, ON")</f>
        <v>Hamilton, ON</v>
      </c>
      <c r="C3" s="4" t="str">
        <f>IFERROR(__xludf.DUMMYFUNCTION("""COMPUTED_VALUE"""),"71 Main St W, Hamilton, ON L8P 4Y5")</f>
        <v>71 Main St W, Hamilton, ON L8P 4Y5</v>
      </c>
      <c r="D3" s="4">
        <f>IFERROR(__xludf.DUMMYFUNCTION("""COMPUTED_VALUE"""),43.2559)</f>
        <v>43.2559</v>
      </c>
      <c r="E3" s="4">
        <f>IFERROR(__xludf.DUMMYFUNCTION("""COMPUTED_VALUE"""),-79.8729)</f>
        <v>-79.8729</v>
      </c>
      <c r="F3" s="4" t="str">
        <f>IFERROR(__xludf.DUMMYFUNCTION("""COMPUTED_VALUE"""),"ON")</f>
        <v>ON</v>
      </c>
      <c r="G3" s="4" t="str">
        <f>IFERROR(__xludf.DUMMYFUNCTION("""COMPUTED_VALUE"""),"Government Program - Business Centre")</f>
        <v>Government Program - Business Centre</v>
      </c>
      <c r="H3" s="4" t="str">
        <f>IFERROR(__xludf.DUMMYFUNCTION("""COMPUTED_VALUE"""),"Programs, workshops, courses, newsletter")</f>
        <v>Programs, workshops, courses, newsletter</v>
      </c>
      <c r="I3" s="44" t="str">
        <f>IFERROR(__xludf.DUMMYFUNCTION("""COMPUTED_VALUE"""),"https://investinhamilton.ca/hamilton-business-centre/")</f>
        <v>https://investinhamilton.ca/hamilton-business-centre/</v>
      </c>
      <c r="J3" s="4" t="str">
        <f>IFERROR(__xludf.DUMMYFUNCTION("""COMPUTED_VALUE"""),"hbc@hamilton.ca")</f>
        <v>hbc@hamilton.ca</v>
      </c>
      <c r="K3" s="4" t="str">
        <f>IFERROR(__xludf.DUMMYFUNCTION("""COMPUTED_VALUE"""),"905-540-6411")</f>
        <v>905-540-6411</v>
      </c>
      <c r="L3" s="4"/>
      <c r="M3" s="4" t="str">
        <f>IFERROR(__xludf.DUMMYFUNCTION("""COMPUTED_VALUE"""),"Provides information, tools, and resources that entrepreneurs need to start and grow their businesses.")</f>
        <v>Provides information, tools, and resources that entrepreneurs need to start and grow their businesses.</v>
      </c>
    </row>
    <row r="4">
      <c r="A4" s="4" t="str">
        <f>IFERROR(__xludf.DUMMYFUNCTION("""COMPUTED_VALUE"""),"Small Business Centre London")</f>
        <v>Small Business Centre London</v>
      </c>
      <c r="B4" s="4" t="str">
        <f>IFERROR(__xludf.DUMMYFUNCTION("""COMPUTED_VALUE"""),"London, ON")</f>
        <v>London, ON</v>
      </c>
      <c r="C4" s="4" t="str">
        <f>IFERROR(__xludf.DUMMYFUNCTION("""COMPUTED_VALUE"""),"900 King St, London, ON N5W 5K3")</f>
        <v>900 King St, London, ON N5W 5K3</v>
      </c>
      <c r="D4" s="4">
        <f>IFERROR(__xludf.DUMMYFUNCTION("""COMPUTED_VALUE"""),42.9898)</f>
        <v>42.9898</v>
      </c>
      <c r="E4" s="4">
        <f>IFERROR(__xludf.DUMMYFUNCTION("""COMPUTED_VALUE"""),-81.22)</f>
        <v>-81.22</v>
      </c>
      <c r="F4" s="4" t="str">
        <f>IFERROR(__xludf.DUMMYFUNCTION("""COMPUTED_VALUE"""),"ON")</f>
        <v>ON</v>
      </c>
      <c r="G4" s="4" t="str">
        <f>IFERROR(__xludf.DUMMYFUNCTION("""COMPUTED_VALUE"""),"Government Program - Business Centre")</f>
        <v>Government Program - Business Centre</v>
      </c>
      <c r="H4" s="4" t="str">
        <f>IFERROR(__xludf.DUMMYFUNCTION("""COMPUTED_VALUE"""),"Training, mentorship, Starter Company Plus, Foodpreneur program")</f>
        <v>Training, mentorship, Starter Company Plus, Foodpreneur program</v>
      </c>
      <c r="I4" s="44" t="str">
        <f>IFERROR(__xludf.DUMMYFUNCTION("""COMPUTED_VALUE"""),"https://sbcentre.ca/")</f>
        <v>https://sbcentre.ca/</v>
      </c>
      <c r="J4" s="4" t="str">
        <f>IFERROR(__xludf.DUMMYFUNCTION("""COMPUTED_VALUE"""),"info@sbcentre.ca")</f>
        <v>info@sbcentre.ca</v>
      </c>
      <c r="K4" s="4" t="str">
        <f>IFERROR(__xludf.DUMMYFUNCTION("""COMPUTED_VALUE"""),"519-659-2882 x.221")</f>
        <v>519-659-2882 x.221</v>
      </c>
      <c r="L4" s="4"/>
      <c r="M4" s="4" t="str">
        <f>IFERROR(__xludf.DUMMYFUNCTION("""COMPUTED_VALUE"""),"Not-for-profit organization that provides training and support to starting and growing businesses.")</f>
        <v>Not-for-profit organization that provides training and support to starting and growing businesses.</v>
      </c>
    </row>
    <row r="5">
      <c r="A5" s="4" t="str">
        <f>IFERROR(__xludf.DUMMYFUNCTION("""COMPUTED_VALUE"""),"Mississauga Business Entrepreneur Centre")</f>
        <v>Mississauga Business Entrepreneur Centre</v>
      </c>
      <c r="B5" s="4" t="str">
        <f>IFERROR(__xludf.DUMMYFUNCTION("""COMPUTED_VALUE"""),"Mississauga, ON")</f>
        <v>Mississauga, ON</v>
      </c>
      <c r="C5" s="4" t="str">
        <f>IFERROR(__xludf.DUMMYFUNCTION("""COMPUTED_VALUE"""),"100 City Centre Dr 2nd floor, Mississauga, ON L5B 2C9")</f>
        <v>100 City Centre Dr 2nd floor, Mississauga, ON L5B 2C9</v>
      </c>
      <c r="D5" s="4">
        <f>IFERROR(__xludf.DUMMYFUNCTION("""COMPUTED_VALUE"""),43.5929)</f>
        <v>43.5929</v>
      </c>
      <c r="E5" s="4">
        <f>IFERROR(__xludf.DUMMYFUNCTION("""COMPUTED_VALUE"""),-79.6426)</f>
        <v>-79.6426</v>
      </c>
      <c r="F5" s="4" t="str">
        <f>IFERROR(__xludf.DUMMYFUNCTION("""COMPUTED_VALUE"""),"ON")</f>
        <v>ON</v>
      </c>
      <c r="G5" s="4" t="str">
        <f>IFERROR(__xludf.DUMMYFUNCTION("""COMPUTED_VALUE"""),"Government Program - Business Centre")</f>
        <v>Government Program - Business Centre</v>
      </c>
      <c r="H5" s="4" t="str">
        <f>IFERROR(__xludf.DUMMYFUNCTION("""COMPUTED_VALUE"""),"Business guidance, starter programs mentorship, scale and commercialize solutions")</f>
        <v>Business guidance, starter programs mentorship, scale and commercialize solutions</v>
      </c>
      <c r="I5" s="44" t="str">
        <f>IFERROR(__xludf.DUMMYFUNCTION("""COMPUTED_VALUE"""),"https://www.ideamississauga.ca/")</f>
        <v>https://www.ideamississauga.ca/</v>
      </c>
      <c r="J5" s="4" t="str">
        <f>IFERROR(__xludf.DUMMYFUNCTION("""COMPUTED_VALUE"""),"donna.heslin@mississauga.ca")</f>
        <v>donna.heslin@mississauga.ca</v>
      </c>
      <c r="K5" s="4" t="str">
        <f>IFERROR(__xludf.DUMMYFUNCTION("""COMPUTED_VALUE"""),"905-615-4460")</f>
        <v>905-615-4460</v>
      </c>
      <c r="L5" s="4" t="str">
        <f>IFERROR(__xludf.DUMMYFUNCTION("""COMPUTED_VALUE"""),"Donna Heslin, Manager")</f>
        <v>Donna Heslin, Manager</v>
      </c>
      <c r="M5" s="4" t="str">
        <f>IFERROR(__xludf.DUMMYFUNCTION("""COMPUTED_VALUE"""),"City-wide ecosystem led by the Economic Development Division within the City of Mississauga's Planning and BUilding Department.")</f>
        <v>City-wide ecosystem led by the Economic Development Division within the City of Mississauga's Planning and BUilding Department.</v>
      </c>
    </row>
    <row r="6">
      <c r="A6" s="4" t="str">
        <f>IFERROR(__xludf.DUMMYFUNCTION("""COMPUTED_VALUE"""),"Toronto Small Business Enterprise Centre")</f>
        <v>Toronto Small Business Enterprise Centre</v>
      </c>
      <c r="B6" s="4" t="str">
        <f>IFERROR(__xludf.DUMMYFUNCTION("""COMPUTED_VALUE"""),"Scarborough, ON")</f>
        <v>Scarborough, ON</v>
      </c>
      <c r="C6" s="4" t="str">
        <f>IFERROR(__xludf.DUMMYFUNCTION("""COMPUTED_VALUE"""),"150 Borough Dr, Scarborough, ON M1P 4N6")</f>
        <v>150 Borough Dr, Scarborough, ON M1P 4N6</v>
      </c>
      <c r="D6" s="4">
        <f>IFERROR(__xludf.DUMMYFUNCTION("""COMPUTED_VALUE"""),43.7729)</f>
        <v>43.7729</v>
      </c>
      <c r="E6" s="4">
        <f>IFERROR(__xludf.DUMMYFUNCTION("""COMPUTED_VALUE"""),-79.2572)</f>
        <v>-79.2572</v>
      </c>
      <c r="F6" s="4" t="str">
        <f>IFERROR(__xludf.DUMMYFUNCTION("""COMPUTED_VALUE"""),"ON")</f>
        <v>ON</v>
      </c>
      <c r="G6" s="4" t="str">
        <f>IFERROR(__xludf.DUMMYFUNCTION("""COMPUTED_VALUE"""),"Government Program - Business Centre")</f>
        <v>Government Program - Business Centre</v>
      </c>
      <c r="H6" s="4" t="str">
        <f>IFERROR(__xludf.DUMMYFUNCTION("""COMPUTED_VALUE"""),"Consultations, mentoring, business plan reviews, licensing support")</f>
        <v>Consultations, mentoring, business plan reviews, licensing support</v>
      </c>
      <c r="I6" s="44" t="str">
        <f>IFERROR(__xludf.DUMMYFUNCTION("""COMPUTED_VALUE"""),"https://www.toronto.ca/business-economy/new-businesses-startups/small-business-support/")</f>
        <v>https://www.toronto.ca/business-economy/new-businesses-startups/small-business-support/</v>
      </c>
      <c r="J6" s="4"/>
      <c r="K6" s="4"/>
      <c r="L6" s="4"/>
      <c r="M6" s="4" t="str">
        <f>IFERROR(__xludf.DUMMYFUNCTION("""COMPUTED_VALUE"""),"The Toronto Small Business Enterprise Centre offers free guidance, information, and tools entrepreneurs need to start and grow their businesses.")</f>
        <v>The Toronto Small Business Enterprise Centre offers free guidance, information, and tools entrepreneurs need to start and grow their businesses.</v>
      </c>
    </row>
    <row r="7">
      <c r="A7" s="4" t="str">
        <f>IFERROR(__xludf.DUMMYFUNCTION("""COMPUTED_VALUE"""),"Small Business &amp; Entrepreneurship Centre")</f>
        <v>Small Business &amp; Entrepreneurship Centre</v>
      </c>
      <c r="B7" s="4" t="str">
        <f>IFERROR(__xludf.DUMMYFUNCTION("""COMPUTED_VALUE"""),"Windsor, ON")</f>
        <v>Windsor, ON</v>
      </c>
      <c r="C7" s="4" t="str">
        <f>IFERROR(__xludf.DUMMYFUNCTION("""COMPUTED_VALUE"""),"119 Chatham St. W., Windsor, ON N9A 5M7")</f>
        <v>119 Chatham St. W., Windsor, ON N9A 5M7</v>
      </c>
      <c r="D7" s="4">
        <f>IFERROR(__xludf.DUMMYFUNCTION("""COMPUTED_VALUE"""),42.3178)</f>
        <v>42.3178</v>
      </c>
      <c r="E7" s="4">
        <f>IFERROR(__xludf.DUMMYFUNCTION("""COMPUTED_VALUE"""),-83.0405)</f>
        <v>-83.0405</v>
      </c>
      <c r="F7" s="4" t="str">
        <f>IFERROR(__xludf.DUMMYFUNCTION("""COMPUTED_VALUE"""),"ON")</f>
        <v>ON</v>
      </c>
      <c r="G7" s="4" t="str">
        <f>IFERROR(__xludf.DUMMYFUNCTION("""COMPUTED_VALUE"""),"Government Program - Business Centre")</f>
        <v>Government Program - Business Centre</v>
      </c>
      <c r="H7" s="4" t="str">
        <f>IFERROR(__xludf.DUMMYFUNCTION("""COMPUTED_VALUE"""),"Start-up services, workshops, grant navigation")</f>
        <v>Start-up services, workshops, grant navigation</v>
      </c>
      <c r="I7" s="44" t="str">
        <f>IFERROR(__xludf.DUMMYFUNCTION("""COMPUTED_VALUE"""),"https://www.webusinesscentre.com/")</f>
        <v>https://www.webusinesscentre.com/</v>
      </c>
      <c r="J7" s="4" t="str">
        <f>IFERROR(__xludf.DUMMYFUNCTION("""COMPUTED_VALUE"""),"info@webusinesscentre.com")</f>
        <v>info@webusinesscentre.com</v>
      </c>
      <c r="K7" s="4" t="str">
        <f>IFERROR(__xludf.DUMMYFUNCTION("""COMPUTED_VALUE"""),"519-253-6900")</f>
        <v>519-253-6900</v>
      </c>
      <c r="L7" s="4"/>
      <c r="M7" s="4" t="str">
        <f>IFERROR(__xludf.DUMMYFUNCTION("""COMPUTED_VALUE"""),"A division of Invest WindsorEssex, in partnership with the Province of Ontario's Ministry of Economic Development, Job Creation and Trade.")</f>
        <v>A division of Invest WindsorEssex, in partnership with the Province of Ontario's Ministry of Economic Development, Job Creation and Trade.</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I2"/>
    <hyperlink r:id="rId2" ref="I3"/>
    <hyperlink r:id="rId3" ref="I4"/>
    <hyperlink r:id="rId4" ref="I5"/>
    <hyperlink r:id="rId5" ref="I6"/>
    <hyperlink r:id="rId6" ref="I7"/>
  </hyperlinks>
  <printOptions/>
  <pageMargins bottom="0.75" footer="0.0" header="0.0" left="0.7" right="0.7" top="0.75"/>
  <pageSetup orientation="landscape"/>
  <drawing r:id="rId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4" t="str">
        <f>IFERROR(__xludf.DUMMYFUNCTION("VSTACK('Asset Map - v2'!A1:M1, FILTER('Asset Map - v2'!A:M, 'Asset Map - v2'!G:G=""Ideation and Scaling""))"),"Organization Name")</f>
        <v>Organization Name</v>
      </c>
      <c r="B1" s="4" t="str">
        <f>IFERROR(__xludf.DUMMYFUNCTION("""COMPUTED_VALUE"""),"City")</f>
        <v>City</v>
      </c>
      <c r="C1" s="4" t="str">
        <f>IFERROR(__xludf.DUMMYFUNCTION("""COMPUTED_VALUE"""),"Address")</f>
        <v>Address</v>
      </c>
      <c r="D1" s="4" t="str">
        <f>IFERROR(__xludf.DUMMYFUNCTION("""COMPUTED_VALUE"""),"Latitude")</f>
        <v>Latitude</v>
      </c>
      <c r="E1" s="4" t="str">
        <f>IFERROR(__xludf.DUMMYFUNCTION("""COMPUTED_VALUE"""),"Longitude")</f>
        <v>Longitude</v>
      </c>
      <c r="F1" s="4" t="str">
        <f>IFERROR(__xludf.DUMMYFUNCTION("""COMPUTED_VALUE"""),"Province/State")</f>
        <v>Province/State</v>
      </c>
      <c r="G1" s="4" t="str">
        <f>IFERROR(__xludf.DUMMYFUNCTION("""COMPUTED_VALUE"""),"Sector/Type")</f>
        <v>Sector/Type</v>
      </c>
      <c r="H1" s="4" t="str">
        <f>IFERROR(__xludf.DUMMYFUNCTION("""COMPUTED_VALUE"""),"Services Offered")</f>
        <v>Services Offered</v>
      </c>
      <c r="I1" s="4" t="str">
        <f>IFERROR(__xludf.DUMMYFUNCTION("""COMPUTED_VALUE"""),"Website")</f>
        <v>Website</v>
      </c>
      <c r="J1" s="4" t="str">
        <f>IFERROR(__xludf.DUMMYFUNCTION("""COMPUTED_VALUE"""),"Email Address")</f>
        <v>Email Address</v>
      </c>
      <c r="K1" s="4" t="str">
        <f>IFERROR(__xludf.DUMMYFUNCTION("""COMPUTED_VALUE"""),"Phone Number")</f>
        <v>Phone Number</v>
      </c>
      <c r="L1" s="4" t="str">
        <f>IFERROR(__xludf.DUMMYFUNCTION("""COMPUTED_VALUE"""),"Contact Name")</f>
        <v>Contact Name</v>
      </c>
      <c r="M1" s="4" t="str">
        <f>IFERROR(__xludf.DUMMYFUNCTION("""COMPUTED_VALUE"""),"Notes")</f>
        <v>Notes</v>
      </c>
    </row>
    <row r="2">
      <c r="A2" s="4" t="str">
        <f>IFERROR(__xludf.DUMMYFUNCTION("""COMPUTED_VALUE"""),"Ecotek Lab")</f>
        <v>Ecotek Lab</v>
      </c>
      <c r="B2" s="4" t="str">
        <f>IFERROR(__xludf.DUMMYFUNCTION("""COMPUTED_VALUE"""),"Detroit, MI")</f>
        <v>Detroit, MI</v>
      </c>
      <c r="C2" s="4" t="str">
        <f>IFERROR(__xludf.DUMMYFUNCTION("""COMPUTED_VALUE"""),"440 Burroughs St, Suite 518, Detroit, MI 48202")</f>
        <v>440 Burroughs St, Suite 518, Detroit, MI 48202</v>
      </c>
      <c r="D2" s="4">
        <f>IFERROR(__xludf.DUMMYFUNCTION("""COMPUTED_VALUE"""),42.3649)</f>
        <v>42.3649</v>
      </c>
      <c r="E2" s="4">
        <f>IFERROR(__xludf.DUMMYFUNCTION("""COMPUTED_VALUE"""),-83.0727)</f>
        <v>-83.0727</v>
      </c>
      <c r="F2" s="4" t="str">
        <f>IFERROR(__xludf.DUMMYFUNCTION("""COMPUTED_VALUE"""),"MI")</f>
        <v>MI</v>
      </c>
      <c r="G2" s="4" t="str">
        <f>IFERROR(__xludf.DUMMYFUNCTION("""COMPUTED_VALUE"""),"Ideation and Scaling")</f>
        <v>Ideation and Scaling</v>
      </c>
      <c r="H2" s="4" t="str">
        <f>IFERROR(__xludf.DUMMYFUNCTION("""COMPUTED_VALUE"""),"Clean technology, sustainable innovation")</f>
        <v>Clean technology, sustainable innovation</v>
      </c>
      <c r="I2" s="44" t="str">
        <f>IFERROR(__xludf.DUMMYFUNCTION("""COMPUTED_VALUE"""),"https://ecotek-us.com/")</f>
        <v>https://ecotek-us.com/</v>
      </c>
      <c r="J2" s="4" t="str">
        <f>IFERROR(__xludf.DUMMYFUNCTION("""COMPUTED_VALUE"""),"Ecoteklab@gmail.com")</f>
        <v>Ecoteklab@gmail.com</v>
      </c>
      <c r="K2" s="4" t="str">
        <f>IFERROR(__xludf.DUMMYFUNCTION("""COMPUTED_VALUE"""),"(313) 399-7893")</f>
        <v>(313) 399-7893</v>
      </c>
      <c r="L2" s="4"/>
      <c r="M2" s="4" t="str">
        <f>IFERROR(__xludf.DUMMYFUNCTION("""COMPUTED_VALUE"""),"Science research organization creating opportunities for academically gifted middle and high school students.")</f>
        <v>Science research organization creating opportunities for academically gifted middle and high school students.</v>
      </c>
    </row>
    <row r="3">
      <c r="A3" s="4" t="str">
        <f>IFERROR(__xludf.DUMMYFUNCTION("""COMPUTED_VALUE"""),"100K Ideas")</f>
        <v>100K Ideas</v>
      </c>
      <c r="B3" s="4" t="str">
        <f>IFERROR(__xludf.DUMMYFUNCTION("""COMPUTED_VALUE"""),"Flint, MI")</f>
        <v>Flint, MI</v>
      </c>
      <c r="C3" s="4" t="str">
        <f>IFERROR(__xludf.DUMMYFUNCTION("""COMPUTED_VALUE"""),"601 Saginaw St, Flint, MI 48502")</f>
        <v>601 Saginaw St, Flint, MI 48502</v>
      </c>
      <c r="D3" s="4">
        <f>IFERROR(__xludf.DUMMYFUNCTION("""COMPUTED_VALUE"""),43.0151)</f>
        <v>43.0151</v>
      </c>
      <c r="E3" s="4">
        <f>IFERROR(__xludf.DUMMYFUNCTION("""COMPUTED_VALUE"""),-83.6894)</f>
        <v>-83.6894</v>
      </c>
      <c r="F3" s="4" t="str">
        <f>IFERROR(__xludf.DUMMYFUNCTION("""COMPUTED_VALUE"""),"MI")</f>
        <v>MI</v>
      </c>
      <c r="G3" s="4" t="str">
        <f>IFERROR(__xludf.DUMMYFUNCTION("""COMPUTED_VALUE"""),"Ideation and Scaling")</f>
        <v>Ideation and Scaling</v>
      </c>
      <c r="H3" s="4" t="str">
        <f>IFERROR(__xludf.DUMMYFUNCTION("""COMPUTED_VALUE"""),"Innovation, prototyping, student ideas")</f>
        <v>Innovation, prototyping, student ideas</v>
      </c>
      <c r="I3" s="44" t="str">
        <f>IFERROR(__xludf.DUMMYFUNCTION("""COMPUTED_VALUE"""),"https://100kideas.org/")</f>
        <v>https://100kideas.org/</v>
      </c>
      <c r="J3" s="4" t="str">
        <f>IFERROR(__xludf.DUMMYFUNCTION("""COMPUTED_VALUE"""),"hey@100kideas.org")</f>
        <v>hey@100kideas.org</v>
      </c>
      <c r="K3" s="4" t="str">
        <f>IFERROR(__xludf.DUMMYFUNCTION("""COMPUTED_VALUE"""),"​810-213-4720​")</f>
        <v>​810-213-4720​</v>
      </c>
      <c r="L3" s="4"/>
      <c r="M3" s="4" t="str">
        <f>IFERROR(__xludf.DUMMYFUNCTION("""COMPUTED_VALUE"""),"Vet entrepeneurial ideas to help in business development to anyone, regardless of prior experience or background.")</f>
        <v>Vet entrepeneurial ideas to help in business development to anyone, regardless of prior experience or background.</v>
      </c>
    </row>
    <row r="4">
      <c r="A4" s="4" t="str">
        <f>IFERROR(__xludf.DUMMYFUNCTION("""COMPUTED_VALUE"""),"Business Leaders for Michigan")</f>
        <v>Business Leaders for Michigan</v>
      </c>
      <c r="B4" s="4" t="str">
        <f>IFERROR(__xludf.DUMMYFUNCTION("""COMPUTED_VALUE"""),"Detroit, MI")</f>
        <v>Detroit, MI</v>
      </c>
      <c r="C4" s="4" t="str">
        <f>IFERROR(__xludf.DUMMYFUNCTION("""COMPUTED_VALUE"""),"600 Renaissance Center, Suite 1760, Detroit, MI 48243-1802")</f>
        <v>600 Renaissance Center, Suite 1760, Detroit, MI 48243-1802</v>
      </c>
      <c r="D4" s="4">
        <f>IFERROR(__xludf.DUMMYFUNCTION("""COMPUTED_VALUE"""),42.3301624156204)</f>
        <v>42.33016242</v>
      </c>
      <c r="E4" s="4">
        <f>IFERROR(__xludf.DUMMYFUNCTION("""COMPUTED_VALUE"""),-83.0383373727324)</f>
        <v>-83.03833737</v>
      </c>
      <c r="F4" s="4" t="str">
        <f>IFERROR(__xludf.DUMMYFUNCTION("""COMPUTED_VALUE"""),"MI")</f>
        <v>MI</v>
      </c>
      <c r="G4" s="4" t="str">
        <f>IFERROR(__xludf.DUMMYFUNCTION("""COMPUTED_VALUE"""),"Ideation and Scaling")</f>
        <v>Ideation and Scaling</v>
      </c>
      <c r="H4" s="4" t="str">
        <f>IFERROR(__xludf.DUMMYFUNCTION("""COMPUTED_VALUE"""),"Economic development, advocacy")</f>
        <v>Economic development, advocacy</v>
      </c>
      <c r="I4" s="44" t="str">
        <f>IFERROR(__xludf.DUMMYFUNCTION("""COMPUTED_VALUE"""),"https://www.businessleadersformichigan.com/")</f>
        <v>https://www.businessleadersformichigan.com/</v>
      </c>
      <c r="J4" s="4" t="str">
        <f>IFERROR(__xludf.DUMMYFUNCTION("""COMPUTED_VALUE"""),"Peterh@businessleadersformichigan.com")</f>
        <v>Peterh@businessleadersformichigan.com</v>
      </c>
      <c r="K4" s="4"/>
      <c r="L4" s="4" t="str">
        <f>IFERROR(__xludf.DUMMYFUNCTION("""COMPUTED_VALUE"""),"Peter Hill, Vice President of Strategic Initiatives")</f>
        <v>Peter Hill, Vice President of Strategic Initiatives</v>
      </c>
      <c r="M4" s="4" t="str">
        <f>IFERROR(__xludf.DUMMYFUNCTION("""COMPUTED_VALUE"""),"Develops strategies, raises awareness, advocates for policies, and champions initiatives that strengthen Michigan's economy.")</f>
        <v>Develops strategies, raises awareness, advocates for policies, and champions initiatives that strengthen Michigan's economy.</v>
      </c>
    </row>
    <row r="5">
      <c r="A5" s="4" t="str">
        <f>IFERROR(__xludf.DUMMYFUNCTION("""COMPUTED_VALUE"""),"Goldman Sachs 10,000 Small Businesses")</f>
        <v>Goldman Sachs 10,000 Small Businesses</v>
      </c>
      <c r="B5" s="4" t="str">
        <f>IFERROR(__xludf.DUMMYFUNCTION("""COMPUTED_VALUE"""),"Detroit, MI")</f>
        <v>Detroit, MI</v>
      </c>
      <c r="C5" s="4" t="str">
        <f>IFERROR(__xludf.DUMMYFUNCTION("""COMPUTED_VALUE"""),"461 Burroughs, Detroit MI 48202")</f>
        <v>461 Burroughs, Detroit MI 48202</v>
      </c>
      <c r="D5" s="4">
        <f>IFERROR(__xludf.DUMMYFUNCTION("""COMPUTED_VALUE"""),42.3646177528935)</f>
        <v>42.36461775</v>
      </c>
      <c r="E5" s="4">
        <f>IFERROR(__xludf.DUMMYFUNCTION("""COMPUTED_VALUE"""),-83.0727657321303)</f>
        <v>-83.07276573</v>
      </c>
      <c r="F5" s="4" t="str">
        <f>IFERROR(__xludf.DUMMYFUNCTION("""COMPUTED_VALUE"""),"MI")</f>
        <v>MI</v>
      </c>
      <c r="G5" s="4" t="str">
        <f>IFERROR(__xludf.DUMMYFUNCTION("""COMPUTED_VALUE"""),"Ideation and Scaling")</f>
        <v>Ideation and Scaling</v>
      </c>
      <c r="H5" s="4" t="str">
        <f>IFERROR(__xludf.DUMMYFUNCTION("""COMPUTED_VALUE"""),"Small business growth, education, entrepreneurship, financial support")</f>
        <v>Small business growth, education, entrepreneurship, financial support</v>
      </c>
      <c r="I5" s="44" t="str">
        <f>IFERROR(__xludf.DUMMYFUNCTION("""COMPUTED_VALUE"""),"http://10ksbdetroit.com/")</f>
        <v>http://10ksbdetroit.com/</v>
      </c>
      <c r="J5" s="4"/>
      <c r="K5" s="4"/>
      <c r="L5" s="4"/>
      <c r="M5" s="4" t="str">
        <f>IFERROR(__xludf.DUMMYFUNCTION("""COMPUTED_VALUE"""),"Helps entrepreneurs create jobs and economic opportunity by providing them with greater access to education, financial capital, and business support services.")</f>
        <v>Helps entrepreneurs create jobs and economic opportunity by providing them with greater access to education, financial capital, and business support services.</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I2"/>
    <hyperlink r:id="rId2" ref="I3"/>
    <hyperlink r:id="rId3" ref="I4"/>
    <hyperlink r:id="rId4" ref="I5"/>
  </hyperlinks>
  <printOptions/>
  <pageMargins bottom="0.75" footer="0.0" header="0.0" left="0.7" right="0.7" top="0.75"/>
  <pageSetup orientation="landscape"/>
  <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8.71"/>
    <col customWidth="1" min="2" max="2" width="19.29"/>
    <col customWidth="1" min="3" max="3" width="38.71"/>
    <col customWidth="1" min="4" max="4" width="15.14"/>
    <col customWidth="1" min="5" max="5" width="18.71"/>
    <col customWidth="1" min="6" max="6" width="15.14"/>
    <col customWidth="1" min="7" max="7" width="24.29"/>
    <col customWidth="1" min="8" max="8" width="31.86"/>
    <col customWidth="1" min="9" max="9" width="26.71"/>
    <col customWidth="1" min="10" max="10" width="22.71"/>
    <col customWidth="1" min="11" max="26" width="8.71"/>
  </cols>
  <sheetData>
    <row r="1" ht="14.25" customHeight="1">
      <c r="A1" s="1" t="s">
        <v>0</v>
      </c>
      <c r="B1" s="1" t="s">
        <v>1</v>
      </c>
      <c r="C1" s="1" t="s">
        <v>2</v>
      </c>
      <c r="D1" s="2" t="s">
        <v>3</v>
      </c>
      <c r="E1" s="2" t="s">
        <v>4</v>
      </c>
      <c r="F1" s="1" t="s">
        <v>5</v>
      </c>
      <c r="G1" s="1" t="s">
        <v>6</v>
      </c>
      <c r="H1" s="1" t="s">
        <v>7</v>
      </c>
      <c r="I1" s="1" t="s">
        <v>8</v>
      </c>
      <c r="J1" s="1" t="s">
        <v>12</v>
      </c>
    </row>
    <row r="2" ht="14.25" customHeight="1">
      <c r="A2" s="4" t="s">
        <v>13</v>
      </c>
      <c r="B2" s="5" t="s">
        <v>14</v>
      </c>
      <c r="C2" s="4" t="s">
        <v>15</v>
      </c>
      <c r="D2" s="4">
        <v>42.2939</v>
      </c>
      <c r="E2" s="5">
        <v>-83.7467</v>
      </c>
      <c r="F2" s="4" t="s">
        <v>16</v>
      </c>
      <c r="G2" s="4" t="s">
        <v>1192</v>
      </c>
      <c r="H2" s="4" t="s">
        <v>18</v>
      </c>
      <c r="I2" s="45" t="s">
        <v>1193</v>
      </c>
      <c r="J2" s="4" t="s">
        <v>18</v>
      </c>
    </row>
    <row r="3" ht="14.25" customHeight="1">
      <c r="A3" s="5" t="s">
        <v>1194</v>
      </c>
      <c r="B3" s="5" t="s">
        <v>14</v>
      </c>
      <c r="C3" s="5" t="s">
        <v>1195</v>
      </c>
      <c r="D3" s="4">
        <v>42.3009</v>
      </c>
      <c r="E3" s="4">
        <v>-83.7033</v>
      </c>
      <c r="F3" s="4" t="s">
        <v>16</v>
      </c>
      <c r="G3" s="5" t="s">
        <v>1196</v>
      </c>
      <c r="H3" s="5" t="s">
        <v>1197</v>
      </c>
      <c r="I3" s="45" t="s">
        <v>1198</v>
      </c>
    </row>
    <row r="4" ht="14.25" customHeight="1">
      <c r="A4" s="4" t="s">
        <v>1199</v>
      </c>
      <c r="B4" s="5" t="s">
        <v>14</v>
      </c>
      <c r="C4" s="4" t="s">
        <v>23</v>
      </c>
      <c r="D4" s="4">
        <v>42.3009</v>
      </c>
      <c r="E4" s="4">
        <v>-83.7033</v>
      </c>
      <c r="F4" s="4" t="s">
        <v>16</v>
      </c>
      <c r="G4" s="4" t="s">
        <v>1200</v>
      </c>
      <c r="H4" s="4" t="s">
        <v>1201</v>
      </c>
      <c r="I4" s="46" t="s">
        <v>1202</v>
      </c>
      <c r="J4" s="4" t="s">
        <v>1203</v>
      </c>
    </row>
    <row r="5" ht="14.25" customHeight="1">
      <c r="A5" s="5" t="s">
        <v>31</v>
      </c>
      <c r="B5" s="5" t="s">
        <v>14</v>
      </c>
      <c r="C5" s="5" t="s">
        <v>32</v>
      </c>
      <c r="D5" s="5">
        <v>42.280293</v>
      </c>
      <c r="E5" s="5">
        <v>-83.748186</v>
      </c>
      <c r="F5" s="4" t="s">
        <v>16</v>
      </c>
      <c r="G5" s="5" t="s">
        <v>600</v>
      </c>
      <c r="H5" s="5" t="s">
        <v>34</v>
      </c>
      <c r="I5" s="47" t="s">
        <v>1204</v>
      </c>
      <c r="J5" s="5" t="s">
        <v>446</v>
      </c>
    </row>
    <row r="6" ht="14.25" customHeight="1">
      <c r="A6" s="5" t="s">
        <v>1205</v>
      </c>
      <c r="B6" s="5" t="s">
        <v>14</v>
      </c>
      <c r="C6" s="5" t="s">
        <v>40</v>
      </c>
      <c r="D6" s="5">
        <v>42.27921</v>
      </c>
      <c r="E6" s="5">
        <v>-83.73359</v>
      </c>
      <c r="F6" s="4" t="s">
        <v>16</v>
      </c>
      <c r="G6" s="5" t="s">
        <v>1196</v>
      </c>
      <c r="H6" s="5" t="s">
        <v>41</v>
      </c>
      <c r="I6" s="45" t="s">
        <v>1205</v>
      </c>
    </row>
    <row r="7" ht="14.25" customHeight="1">
      <c r="A7" s="5" t="s">
        <v>47</v>
      </c>
      <c r="B7" s="5" t="s">
        <v>14</v>
      </c>
      <c r="C7" s="5" t="s">
        <v>48</v>
      </c>
      <c r="D7" s="5">
        <v>42.302</v>
      </c>
      <c r="E7" s="5">
        <v>-83.705</v>
      </c>
      <c r="F7" s="4" t="s">
        <v>16</v>
      </c>
      <c r="G7" s="5" t="s">
        <v>1196</v>
      </c>
      <c r="H7" s="5" t="s">
        <v>1206</v>
      </c>
      <c r="I7" s="47" t="s">
        <v>1207</v>
      </c>
      <c r="J7" s="5"/>
    </row>
    <row r="8" ht="14.25" customHeight="1">
      <c r="A8" s="5" t="s">
        <v>53</v>
      </c>
      <c r="B8" s="5" t="s">
        <v>14</v>
      </c>
      <c r="C8" s="5" t="s">
        <v>54</v>
      </c>
      <c r="D8" s="4">
        <v>42.2431</v>
      </c>
      <c r="E8" s="4">
        <v>-83.7328</v>
      </c>
      <c r="F8" s="4" t="s">
        <v>16</v>
      </c>
      <c r="G8" s="5" t="s">
        <v>1208</v>
      </c>
      <c r="H8" s="5" t="s">
        <v>1209</v>
      </c>
      <c r="I8" s="47" t="s">
        <v>1210</v>
      </c>
      <c r="J8" s="5" t="s">
        <v>1211</v>
      </c>
    </row>
    <row r="9" ht="14.25" customHeight="1">
      <c r="A9" s="5" t="s">
        <v>61</v>
      </c>
      <c r="B9" s="5" t="s">
        <v>14</v>
      </c>
      <c r="C9" s="5" t="s">
        <v>62</v>
      </c>
      <c r="D9" s="4">
        <v>42.7346</v>
      </c>
      <c r="E9" s="4">
        <v>-84.4808</v>
      </c>
      <c r="F9" s="4" t="s">
        <v>16</v>
      </c>
      <c r="G9" s="5" t="s">
        <v>1212</v>
      </c>
      <c r="H9" s="5" t="s">
        <v>1213</v>
      </c>
      <c r="I9" s="47" t="s">
        <v>1214</v>
      </c>
      <c r="J9" s="5" t="s">
        <v>1215</v>
      </c>
    </row>
    <row r="10" ht="14.25" customHeight="1">
      <c r="A10" s="4" t="s">
        <v>68</v>
      </c>
      <c r="B10" s="5" t="s">
        <v>14</v>
      </c>
      <c r="C10" s="5" t="s">
        <v>69</v>
      </c>
      <c r="D10" s="5">
        <v>42.2796</v>
      </c>
      <c r="E10" s="5">
        <v>-83.7454</v>
      </c>
      <c r="F10" s="4" t="s">
        <v>16</v>
      </c>
      <c r="G10" s="4" t="s">
        <v>1216</v>
      </c>
      <c r="H10" s="4" t="s">
        <v>71</v>
      </c>
      <c r="I10" s="46" t="s">
        <v>72</v>
      </c>
      <c r="J10" s="4" t="s">
        <v>71</v>
      </c>
    </row>
    <row r="11" ht="14.25" customHeight="1">
      <c r="A11" s="5" t="s">
        <v>75</v>
      </c>
      <c r="B11" s="5" t="s">
        <v>14</v>
      </c>
      <c r="C11" s="5" t="s">
        <v>76</v>
      </c>
      <c r="D11" s="5">
        <v>42.2769</v>
      </c>
      <c r="E11" s="5">
        <v>-83.741</v>
      </c>
      <c r="F11" s="4" t="s">
        <v>16</v>
      </c>
      <c r="G11" s="5" t="s">
        <v>600</v>
      </c>
      <c r="H11" s="5" t="s">
        <v>299</v>
      </c>
      <c r="I11" s="45" t="s">
        <v>1217</v>
      </c>
      <c r="J11" s="5" t="s">
        <v>446</v>
      </c>
    </row>
    <row r="12" ht="14.25" customHeight="1">
      <c r="A12" s="5" t="s">
        <v>81</v>
      </c>
      <c r="B12" s="5" t="s">
        <v>14</v>
      </c>
      <c r="C12" s="5" t="s">
        <v>82</v>
      </c>
      <c r="D12" s="5">
        <v>42.2226</v>
      </c>
      <c r="E12" s="5">
        <v>-83.7263</v>
      </c>
      <c r="F12" s="5" t="s">
        <v>16</v>
      </c>
      <c r="G12" s="5" t="s">
        <v>1218</v>
      </c>
      <c r="H12" s="5" t="s">
        <v>83</v>
      </c>
      <c r="I12" s="45" t="s">
        <v>1219</v>
      </c>
      <c r="J12" s="5" t="s">
        <v>1220</v>
      </c>
    </row>
    <row r="13" ht="14.25" customHeight="1">
      <c r="A13" s="5" t="s">
        <v>87</v>
      </c>
      <c r="B13" s="5" t="s">
        <v>14</v>
      </c>
      <c r="C13" s="5" t="s">
        <v>88</v>
      </c>
      <c r="D13" s="4">
        <v>42.2737</v>
      </c>
      <c r="E13" s="4">
        <v>-83.7395</v>
      </c>
      <c r="F13" s="4" t="s">
        <v>16</v>
      </c>
      <c r="G13" s="5" t="s">
        <v>1221</v>
      </c>
      <c r="H13" s="5" t="s">
        <v>1222</v>
      </c>
      <c r="I13" s="45" t="s">
        <v>1223</v>
      </c>
      <c r="J13" s="5" t="s">
        <v>1224</v>
      </c>
    </row>
    <row r="14" ht="14.25" customHeight="1">
      <c r="A14" s="5" t="s">
        <v>93</v>
      </c>
      <c r="B14" s="5" t="s">
        <v>14</v>
      </c>
      <c r="C14" s="5" t="s">
        <v>94</v>
      </c>
      <c r="D14" s="4">
        <v>42.2139</v>
      </c>
      <c r="E14" s="4">
        <v>-83.745</v>
      </c>
      <c r="F14" s="4" t="s">
        <v>16</v>
      </c>
      <c r="G14" s="5" t="s">
        <v>1208</v>
      </c>
      <c r="H14" s="5" t="s">
        <v>1225</v>
      </c>
      <c r="I14" s="47" t="s">
        <v>1226</v>
      </c>
      <c r="J14" s="5" t="s">
        <v>1227</v>
      </c>
    </row>
    <row r="15" ht="14.25" customHeight="1">
      <c r="A15" s="5" t="s">
        <v>100</v>
      </c>
      <c r="B15" s="5" t="s">
        <v>101</v>
      </c>
      <c r="C15" s="5" t="s">
        <v>102</v>
      </c>
      <c r="D15" s="5">
        <v>42.5517</v>
      </c>
      <c r="E15" s="5">
        <v>-83.2151</v>
      </c>
      <c r="F15" s="4" t="s">
        <v>16</v>
      </c>
      <c r="G15" s="5" t="s">
        <v>600</v>
      </c>
      <c r="H15" s="5" t="s">
        <v>299</v>
      </c>
      <c r="I15" s="47" t="s">
        <v>1228</v>
      </c>
      <c r="J15" s="5" t="s">
        <v>1229</v>
      </c>
    </row>
    <row r="16" ht="14.25" customHeight="1">
      <c r="A16" s="5" t="s">
        <v>108</v>
      </c>
      <c r="B16" s="5" t="s">
        <v>109</v>
      </c>
      <c r="C16" s="5" t="s">
        <v>110</v>
      </c>
      <c r="D16" s="5">
        <v>42.5419</v>
      </c>
      <c r="E16" s="5">
        <v>-83.2854</v>
      </c>
      <c r="F16" s="5" t="s">
        <v>16</v>
      </c>
      <c r="G16" s="5" t="s">
        <v>1212</v>
      </c>
      <c r="H16" s="5" t="s">
        <v>111</v>
      </c>
      <c r="I16" s="45" t="s">
        <v>1230</v>
      </c>
      <c r="J16" s="5" t="s">
        <v>1231</v>
      </c>
    </row>
    <row r="17" ht="14.25" customHeight="1">
      <c r="A17" s="5" t="s">
        <v>1186</v>
      </c>
      <c r="B17" s="5" t="s">
        <v>561</v>
      </c>
      <c r="C17" s="4" t="s">
        <v>1187</v>
      </c>
      <c r="D17" s="4">
        <v>43.3959</v>
      </c>
      <c r="E17" s="4">
        <v>-79.7613</v>
      </c>
      <c r="F17" s="4" t="s">
        <v>524</v>
      </c>
      <c r="G17" s="5" t="s">
        <v>600</v>
      </c>
      <c r="H17" s="5" t="s">
        <v>1188</v>
      </c>
      <c r="I17" s="45" t="s">
        <v>1232</v>
      </c>
      <c r="J17" s="5" t="s">
        <v>1229</v>
      </c>
    </row>
    <row r="18" ht="14.25" customHeight="1">
      <c r="A18" s="5" t="s">
        <v>115</v>
      </c>
      <c r="B18" s="5" t="s">
        <v>124</v>
      </c>
      <c r="C18" s="5" t="s">
        <v>117</v>
      </c>
      <c r="D18" s="5">
        <v>42.723</v>
      </c>
      <c r="E18" s="5">
        <v>-84.5527</v>
      </c>
      <c r="F18" s="5" t="s">
        <v>16</v>
      </c>
      <c r="G18" s="5" t="s">
        <v>1221</v>
      </c>
      <c r="H18" s="5" t="s">
        <v>118</v>
      </c>
      <c r="I18" s="47" t="s">
        <v>1233</v>
      </c>
      <c r="J18" s="5" t="s">
        <v>1234</v>
      </c>
    </row>
    <row r="19" ht="14.25" customHeight="1">
      <c r="A19" s="5" t="s">
        <v>123</v>
      </c>
      <c r="B19" s="5" t="s">
        <v>124</v>
      </c>
      <c r="C19" s="5" t="s">
        <v>125</v>
      </c>
      <c r="D19" s="5">
        <v>42.332</v>
      </c>
      <c r="E19" s="5">
        <v>-83.0476</v>
      </c>
      <c r="F19" s="5" t="s">
        <v>16</v>
      </c>
      <c r="G19" s="5" t="s">
        <v>1208</v>
      </c>
      <c r="H19" s="5" t="s">
        <v>1235</v>
      </c>
      <c r="I19" s="47" t="s">
        <v>1236</v>
      </c>
      <c r="J19" s="5" t="s">
        <v>130</v>
      </c>
    </row>
    <row r="20" ht="14.25" customHeight="1">
      <c r="A20" s="5" t="s">
        <v>131</v>
      </c>
      <c r="B20" s="5" t="s">
        <v>124</v>
      </c>
      <c r="C20" s="5" t="s">
        <v>132</v>
      </c>
      <c r="D20" s="4">
        <v>42.3262</v>
      </c>
      <c r="E20" s="4">
        <v>-83.0686</v>
      </c>
      <c r="F20" s="4" t="s">
        <v>16</v>
      </c>
      <c r="G20" s="5" t="s">
        <v>1221</v>
      </c>
      <c r="H20" s="5" t="s">
        <v>1237</v>
      </c>
      <c r="I20" s="45" t="s">
        <v>1238</v>
      </c>
      <c r="J20" s="5" t="s">
        <v>1239</v>
      </c>
    </row>
    <row r="21" ht="14.25" customHeight="1">
      <c r="A21" s="5" t="s">
        <v>138</v>
      </c>
      <c r="B21" s="5" t="s">
        <v>124</v>
      </c>
      <c r="C21" s="5" t="s">
        <v>139</v>
      </c>
      <c r="D21" s="5">
        <v>42.3341</v>
      </c>
      <c r="E21" s="5">
        <v>-83.0504</v>
      </c>
      <c r="F21" s="5" t="s">
        <v>16</v>
      </c>
      <c r="G21" s="5" t="s">
        <v>1221</v>
      </c>
      <c r="H21" s="5" t="s">
        <v>1240</v>
      </c>
      <c r="I21" s="45" t="s">
        <v>1241</v>
      </c>
      <c r="J21" s="5" t="s">
        <v>1242</v>
      </c>
    </row>
    <row r="22" ht="14.25" customHeight="1">
      <c r="A22" s="5" t="s">
        <v>143</v>
      </c>
      <c r="B22" s="5" t="s">
        <v>124</v>
      </c>
      <c r="C22" s="5" t="s">
        <v>144</v>
      </c>
      <c r="D22" s="5">
        <v>42.3346</v>
      </c>
      <c r="E22" s="5">
        <v>-83.0496</v>
      </c>
      <c r="F22" s="5" t="s">
        <v>16</v>
      </c>
      <c r="G22" s="5" t="s">
        <v>1221</v>
      </c>
      <c r="H22" s="5" t="s">
        <v>145</v>
      </c>
      <c r="I22" s="47" t="s">
        <v>1243</v>
      </c>
      <c r="J22" s="5" t="s">
        <v>1244</v>
      </c>
    </row>
    <row r="23" ht="14.25" customHeight="1">
      <c r="A23" s="5" t="s">
        <v>150</v>
      </c>
      <c r="B23" s="5" t="s">
        <v>124</v>
      </c>
      <c r="C23" s="4" t="s">
        <v>151</v>
      </c>
      <c r="D23" s="5">
        <v>42.3352</v>
      </c>
      <c r="E23" s="5">
        <v>-83.0459</v>
      </c>
      <c r="F23" s="5" t="s">
        <v>16</v>
      </c>
      <c r="G23" s="5" t="s">
        <v>600</v>
      </c>
      <c r="H23" s="5" t="s">
        <v>152</v>
      </c>
      <c r="I23" s="45" t="s">
        <v>1245</v>
      </c>
      <c r="J23" s="5" t="s">
        <v>1246</v>
      </c>
    </row>
    <row r="24" ht="14.25" customHeight="1">
      <c r="A24" s="4" t="s">
        <v>157</v>
      </c>
      <c r="B24" s="5" t="s">
        <v>124</v>
      </c>
      <c r="C24" s="4" t="s">
        <v>158</v>
      </c>
      <c r="D24" s="4">
        <v>42.3256</v>
      </c>
      <c r="E24" s="4">
        <v>-83.068</v>
      </c>
      <c r="F24" s="4" t="s">
        <v>16</v>
      </c>
      <c r="G24" s="4" t="s">
        <v>1247</v>
      </c>
      <c r="H24" s="4" t="s">
        <v>159</v>
      </c>
      <c r="I24" s="46" t="s">
        <v>160</v>
      </c>
      <c r="J24" s="4" t="s">
        <v>159</v>
      </c>
    </row>
    <row r="25" ht="14.25" customHeight="1">
      <c r="A25" s="5" t="s">
        <v>164</v>
      </c>
      <c r="B25" s="5" t="s">
        <v>124</v>
      </c>
      <c r="C25" s="5" t="s">
        <v>165</v>
      </c>
      <c r="D25" s="5">
        <v>42.325</v>
      </c>
      <c r="E25" s="5">
        <v>-83.0703</v>
      </c>
      <c r="F25" s="5" t="s">
        <v>16</v>
      </c>
      <c r="G25" s="5" t="s">
        <v>1221</v>
      </c>
      <c r="H25" s="5" t="s">
        <v>166</v>
      </c>
      <c r="I25" s="47" t="s">
        <v>1248</v>
      </c>
      <c r="J25" s="5" t="s">
        <v>1249</v>
      </c>
    </row>
    <row r="26" ht="14.25" customHeight="1">
      <c r="A26" s="5" t="s">
        <v>170</v>
      </c>
      <c r="B26" s="5" t="s">
        <v>124</v>
      </c>
      <c r="C26" s="5" t="s">
        <v>171</v>
      </c>
      <c r="D26" s="5">
        <v>42.3242</v>
      </c>
      <c r="E26" s="5">
        <v>-83.0709</v>
      </c>
      <c r="F26" s="5" t="s">
        <v>16</v>
      </c>
      <c r="G26" s="5" t="s">
        <v>1221</v>
      </c>
      <c r="H26" s="5" t="s">
        <v>1250</v>
      </c>
      <c r="I26" s="47" t="s">
        <v>1251</v>
      </c>
      <c r="J26" s="5" t="s">
        <v>1252</v>
      </c>
    </row>
    <row r="27" ht="13.5" customHeight="1">
      <c r="A27" s="5" t="s">
        <v>175</v>
      </c>
      <c r="B27" s="5" t="s">
        <v>124</v>
      </c>
      <c r="C27" s="5" t="s">
        <v>176</v>
      </c>
      <c r="D27" s="5">
        <v>42.32969</v>
      </c>
      <c r="E27" s="5">
        <v>-83.04357</v>
      </c>
      <c r="F27" s="5" t="s">
        <v>16</v>
      </c>
      <c r="G27" s="5" t="s">
        <v>1208</v>
      </c>
      <c r="H27" s="5" t="s">
        <v>177</v>
      </c>
      <c r="I27" s="47" t="s">
        <v>1253</v>
      </c>
      <c r="J27" s="5" t="s">
        <v>1254</v>
      </c>
    </row>
    <row r="28" ht="14.25" customHeight="1">
      <c r="A28" s="5" t="s">
        <v>180</v>
      </c>
      <c r="B28" s="5" t="s">
        <v>124</v>
      </c>
      <c r="C28" s="5" t="s">
        <v>181</v>
      </c>
      <c r="D28" s="5">
        <v>42.3258</v>
      </c>
      <c r="E28" s="5">
        <v>-83.0735</v>
      </c>
      <c r="F28" s="5" t="s">
        <v>16</v>
      </c>
      <c r="G28" s="5" t="s">
        <v>1221</v>
      </c>
      <c r="H28" s="5" t="s">
        <v>182</v>
      </c>
      <c r="I28" s="47" t="s">
        <v>1255</v>
      </c>
      <c r="J28" s="5" t="s">
        <v>1256</v>
      </c>
    </row>
    <row r="29" ht="14.25" customHeight="1">
      <c r="A29" s="5" t="s">
        <v>187</v>
      </c>
      <c r="B29" s="5" t="s">
        <v>124</v>
      </c>
      <c r="C29" s="5" t="s">
        <v>181</v>
      </c>
      <c r="D29" s="5">
        <v>42.3258</v>
      </c>
      <c r="E29" s="5">
        <v>-83.0735</v>
      </c>
      <c r="F29" s="5" t="s">
        <v>16</v>
      </c>
      <c r="G29" s="5" t="s">
        <v>1208</v>
      </c>
      <c r="H29" s="5" t="s">
        <v>188</v>
      </c>
      <c r="I29" s="47" t="s">
        <v>1257</v>
      </c>
      <c r="J29" s="5" t="s">
        <v>1258</v>
      </c>
    </row>
    <row r="30" ht="14.25" customHeight="1">
      <c r="A30" s="5" t="s">
        <v>193</v>
      </c>
      <c r="B30" s="5" t="s">
        <v>124</v>
      </c>
      <c r="C30" s="5" t="s">
        <v>194</v>
      </c>
      <c r="D30" s="5">
        <v>42.3357</v>
      </c>
      <c r="E30" s="5">
        <v>-83.0526</v>
      </c>
      <c r="F30" s="4" t="s">
        <v>16</v>
      </c>
      <c r="G30" s="5" t="s">
        <v>1196</v>
      </c>
      <c r="H30" s="5" t="s">
        <v>195</v>
      </c>
      <c r="I30" s="47" t="s">
        <v>1259</v>
      </c>
    </row>
    <row r="31" ht="14.25" customHeight="1">
      <c r="A31" s="5" t="s">
        <v>1260</v>
      </c>
      <c r="B31" s="5" t="s">
        <v>124</v>
      </c>
      <c r="C31" s="5" t="s">
        <v>199</v>
      </c>
      <c r="D31" s="5">
        <v>42.7362</v>
      </c>
      <c r="E31" s="5">
        <v>-84.5513</v>
      </c>
      <c r="F31" s="5" t="s">
        <v>16</v>
      </c>
      <c r="G31" s="5" t="s">
        <v>1208</v>
      </c>
      <c r="H31" s="5" t="s">
        <v>200</v>
      </c>
      <c r="I31" s="45" t="s">
        <v>1261</v>
      </c>
      <c r="J31" s="5" t="s">
        <v>1262</v>
      </c>
    </row>
    <row r="32" ht="14.25" customHeight="1">
      <c r="A32" s="5" t="s">
        <v>204</v>
      </c>
      <c r="B32" s="5" t="s">
        <v>124</v>
      </c>
      <c r="C32" s="5" t="s">
        <v>205</v>
      </c>
      <c r="D32" s="5">
        <v>42.3281</v>
      </c>
      <c r="E32" s="5">
        <v>-83.0497</v>
      </c>
      <c r="F32" s="4" t="s">
        <v>16</v>
      </c>
      <c r="G32" s="5" t="s">
        <v>600</v>
      </c>
      <c r="H32" s="5" t="s">
        <v>1263</v>
      </c>
      <c r="I32" s="47" t="s">
        <v>1264</v>
      </c>
      <c r="J32" s="5" t="s">
        <v>1265</v>
      </c>
    </row>
    <row r="33" ht="14.25" customHeight="1">
      <c r="A33" s="5" t="s">
        <v>1266</v>
      </c>
      <c r="B33" s="5" t="s">
        <v>124</v>
      </c>
      <c r="C33" s="5" t="s">
        <v>1267</v>
      </c>
      <c r="D33" s="4">
        <v>42.3579</v>
      </c>
      <c r="E33" s="4">
        <v>-83.0636</v>
      </c>
      <c r="F33" s="4" t="s">
        <v>16</v>
      </c>
      <c r="G33" s="5" t="s">
        <v>1196</v>
      </c>
      <c r="H33" s="5" t="s">
        <v>212</v>
      </c>
      <c r="I33" s="47" t="s">
        <v>1268</v>
      </c>
      <c r="J33" s="5" t="s">
        <v>1269</v>
      </c>
    </row>
    <row r="34" ht="14.25" customHeight="1">
      <c r="A34" s="5" t="s">
        <v>218</v>
      </c>
      <c r="B34" s="5" t="s">
        <v>124</v>
      </c>
      <c r="C34" s="4" t="s">
        <v>219</v>
      </c>
      <c r="D34" s="5">
        <v>42.3496</v>
      </c>
      <c r="E34" s="5">
        <v>-83.0593</v>
      </c>
      <c r="F34" s="5" t="s">
        <v>16</v>
      </c>
      <c r="G34" s="5" t="s">
        <v>600</v>
      </c>
      <c r="H34" s="5" t="s">
        <v>220</v>
      </c>
      <c r="I34" s="47" t="s">
        <v>1270</v>
      </c>
      <c r="J34" s="5" t="s">
        <v>1271</v>
      </c>
    </row>
    <row r="35" ht="14.25" customHeight="1">
      <c r="A35" s="4" t="s">
        <v>224</v>
      </c>
      <c r="B35" s="5" t="s">
        <v>124</v>
      </c>
      <c r="C35" s="5" t="s">
        <v>225</v>
      </c>
      <c r="D35" s="5">
        <v>42.3649</v>
      </c>
      <c r="E35" s="5">
        <v>-83.0727</v>
      </c>
      <c r="F35" s="4" t="s">
        <v>16</v>
      </c>
      <c r="G35" s="4" t="s">
        <v>1272</v>
      </c>
      <c r="H35" s="4" t="s">
        <v>1273</v>
      </c>
      <c r="I35" s="46" t="s">
        <v>227</v>
      </c>
      <c r="J35" s="4" t="s">
        <v>1273</v>
      </c>
    </row>
    <row r="36" ht="14.25" customHeight="1">
      <c r="A36" s="5" t="s">
        <v>231</v>
      </c>
      <c r="B36" s="5" t="s">
        <v>124</v>
      </c>
      <c r="C36" s="5" t="s">
        <v>232</v>
      </c>
      <c r="D36" s="5">
        <v>42.3649</v>
      </c>
      <c r="E36" s="5">
        <v>-83.0727</v>
      </c>
      <c r="F36" s="4" t="s">
        <v>16</v>
      </c>
      <c r="G36" s="5" t="s">
        <v>1221</v>
      </c>
      <c r="H36" s="5" t="s">
        <v>233</v>
      </c>
      <c r="I36" s="47" t="s">
        <v>1274</v>
      </c>
      <c r="J36" s="5" t="s">
        <v>1275</v>
      </c>
    </row>
    <row r="37" ht="14.25" customHeight="1">
      <c r="A37" s="5" t="s">
        <v>238</v>
      </c>
      <c r="B37" s="5" t="s">
        <v>124</v>
      </c>
      <c r="C37" s="5" t="s">
        <v>1276</v>
      </c>
      <c r="D37" s="5">
        <v>42.3649</v>
      </c>
      <c r="E37" s="5">
        <v>-83.0727</v>
      </c>
      <c r="F37" s="5" t="s">
        <v>16</v>
      </c>
      <c r="G37" s="5" t="s">
        <v>1277</v>
      </c>
      <c r="H37" s="5" t="s">
        <v>241</v>
      </c>
      <c r="I37" s="45" t="s">
        <v>1278</v>
      </c>
      <c r="J37" s="5" t="s">
        <v>1279</v>
      </c>
    </row>
    <row r="38" ht="14.25" customHeight="1">
      <c r="A38" s="4" t="s">
        <v>1280</v>
      </c>
      <c r="B38" s="4" t="s">
        <v>124</v>
      </c>
      <c r="C38" s="5" t="s">
        <v>247</v>
      </c>
      <c r="D38" s="5">
        <v>42.3306</v>
      </c>
      <c r="E38" s="5">
        <v>-83.0466</v>
      </c>
      <c r="F38" s="4" t="s">
        <v>16</v>
      </c>
      <c r="G38" s="4" t="s">
        <v>1281</v>
      </c>
      <c r="H38" s="4" t="s">
        <v>1282</v>
      </c>
      <c r="I38" s="46" t="s">
        <v>1283</v>
      </c>
      <c r="J38" s="4" t="s">
        <v>1282</v>
      </c>
    </row>
    <row r="39" ht="14.25" customHeight="1">
      <c r="A39" s="5" t="s">
        <v>1284</v>
      </c>
      <c r="B39" s="5" t="s">
        <v>124</v>
      </c>
      <c r="C39" s="5" t="s">
        <v>1285</v>
      </c>
      <c r="D39" s="5">
        <v>42.3306</v>
      </c>
      <c r="E39" s="5">
        <v>-83.0466</v>
      </c>
      <c r="F39" s="5" t="s">
        <v>16</v>
      </c>
      <c r="G39" s="5" t="s">
        <v>1208</v>
      </c>
      <c r="H39" s="5" t="s">
        <v>1286</v>
      </c>
      <c r="I39" s="47" t="s">
        <v>1287</v>
      </c>
      <c r="J39" s="5" t="s">
        <v>1288</v>
      </c>
    </row>
    <row r="40" ht="14.25" customHeight="1">
      <c r="A40" s="5" t="s">
        <v>253</v>
      </c>
      <c r="B40" s="5" t="s">
        <v>124</v>
      </c>
      <c r="C40" s="5" t="s">
        <v>254</v>
      </c>
      <c r="D40" s="4">
        <v>42.32806</v>
      </c>
      <c r="E40" s="4">
        <v>-83.04083</v>
      </c>
      <c r="F40" s="4" t="s">
        <v>16</v>
      </c>
      <c r="G40" s="5" t="s">
        <v>1212</v>
      </c>
      <c r="H40" s="5" t="s">
        <v>1289</v>
      </c>
      <c r="I40" s="45" t="s">
        <v>1290</v>
      </c>
      <c r="J40" s="5" t="s">
        <v>1291</v>
      </c>
    </row>
    <row r="41" ht="14.25" customHeight="1">
      <c r="A41" s="5" t="s">
        <v>260</v>
      </c>
      <c r="B41" s="5" t="s">
        <v>124</v>
      </c>
      <c r="C41" s="5" t="s">
        <v>262</v>
      </c>
      <c r="D41" s="5">
        <v>43.0151</v>
      </c>
      <c r="E41" s="5">
        <v>-83.6894</v>
      </c>
      <c r="F41" s="5" t="s">
        <v>16</v>
      </c>
      <c r="G41" s="5" t="s">
        <v>1277</v>
      </c>
      <c r="H41" s="5" t="s">
        <v>263</v>
      </c>
      <c r="I41" s="45" t="s">
        <v>1292</v>
      </c>
      <c r="J41" s="5" t="s">
        <v>1293</v>
      </c>
    </row>
    <row r="42" ht="14.25" customHeight="1">
      <c r="A42" s="5" t="s">
        <v>268</v>
      </c>
      <c r="B42" s="5" t="s">
        <v>124</v>
      </c>
      <c r="C42" s="5" t="s">
        <v>269</v>
      </c>
      <c r="D42" s="5">
        <v>42.3314</v>
      </c>
      <c r="E42" s="5">
        <v>-83.0474</v>
      </c>
      <c r="F42" s="5" t="s">
        <v>16</v>
      </c>
      <c r="G42" s="5" t="s">
        <v>1208</v>
      </c>
      <c r="H42" s="5" t="s">
        <v>1294</v>
      </c>
      <c r="I42" s="47" t="s">
        <v>1295</v>
      </c>
      <c r="J42" s="5" t="s">
        <v>1296</v>
      </c>
    </row>
    <row r="43" ht="14.25" customHeight="1">
      <c r="A43" s="5" t="s">
        <v>276</v>
      </c>
      <c r="B43" s="5" t="s">
        <v>124</v>
      </c>
      <c r="C43" s="5" t="s">
        <v>269</v>
      </c>
      <c r="D43" s="5">
        <v>42.3314</v>
      </c>
      <c r="E43" s="5">
        <v>-83.0474</v>
      </c>
      <c r="F43" s="5" t="s">
        <v>16</v>
      </c>
      <c r="G43" s="5" t="s">
        <v>1208</v>
      </c>
      <c r="H43" s="5" t="s">
        <v>1297</v>
      </c>
      <c r="I43" s="45" t="s">
        <v>1298</v>
      </c>
      <c r="J43" s="5" t="s">
        <v>1299</v>
      </c>
    </row>
    <row r="44" ht="14.25" customHeight="1">
      <c r="A44" s="5" t="s">
        <v>280</v>
      </c>
      <c r="B44" s="5" t="s">
        <v>124</v>
      </c>
      <c r="C44" s="5" t="s">
        <v>269</v>
      </c>
      <c r="D44" s="5">
        <v>42.3314</v>
      </c>
      <c r="E44" s="5">
        <v>-83.0474</v>
      </c>
      <c r="F44" s="4" t="s">
        <v>16</v>
      </c>
      <c r="G44" s="5" t="s">
        <v>1208</v>
      </c>
      <c r="H44" s="5" t="s">
        <v>1300</v>
      </c>
      <c r="I44" s="47" t="s">
        <v>1301</v>
      </c>
      <c r="J44" s="5" t="s">
        <v>1302</v>
      </c>
    </row>
    <row r="45" ht="14.25" customHeight="1">
      <c r="A45" s="5" t="s">
        <v>284</v>
      </c>
      <c r="B45" s="5" t="s">
        <v>124</v>
      </c>
      <c r="C45" s="4" t="s">
        <v>285</v>
      </c>
      <c r="D45" s="5">
        <v>42.3289</v>
      </c>
      <c r="E45" s="5">
        <v>-83.0456</v>
      </c>
      <c r="F45" s="5" t="s">
        <v>16</v>
      </c>
      <c r="G45" s="5" t="s">
        <v>600</v>
      </c>
      <c r="H45" s="5" t="s">
        <v>286</v>
      </c>
      <c r="I45" s="47" t="s">
        <v>1303</v>
      </c>
      <c r="J45" s="5" t="s">
        <v>1304</v>
      </c>
    </row>
    <row r="46" ht="14.25" customHeight="1">
      <c r="A46" s="5" t="s">
        <v>1305</v>
      </c>
      <c r="B46" s="5" t="s">
        <v>124</v>
      </c>
      <c r="C46" s="5"/>
      <c r="F46" s="4" t="s">
        <v>16</v>
      </c>
      <c r="G46" s="5" t="s">
        <v>1196</v>
      </c>
      <c r="H46" s="5" t="s">
        <v>291</v>
      </c>
      <c r="I46" s="47" t="s">
        <v>1306</v>
      </c>
      <c r="J46" s="5" t="s">
        <v>1307</v>
      </c>
    </row>
    <row r="47" ht="14.25" customHeight="1">
      <c r="A47" s="5" t="s">
        <v>1308</v>
      </c>
      <c r="B47" s="5" t="s">
        <v>124</v>
      </c>
      <c r="C47" s="5"/>
      <c r="D47" s="5"/>
      <c r="E47" s="5"/>
      <c r="F47" s="5" t="s">
        <v>16</v>
      </c>
      <c r="G47" s="5" t="s">
        <v>1221</v>
      </c>
      <c r="H47" s="5" t="s">
        <v>1309</v>
      </c>
      <c r="I47" s="47" t="s">
        <v>1310</v>
      </c>
      <c r="J47" s="5" t="s">
        <v>1311</v>
      </c>
    </row>
    <row r="48" ht="14.25" customHeight="1">
      <c r="A48" s="5" t="s">
        <v>1312</v>
      </c>
      <c r="B48" s="5" t="s">
        <v>297</v>
      </c>
      <c r="C48" s="4" t="s">
        <v>298</v>
      </c>
      <c r="D48" s="5">
        <v>42.7346</v>
      </c>
      <c r="E48" s="5">
        <v>-84.4808</v>
      </c>
      <c r="F48" s="5" t="s">
        <v>16</v>
      </c>
      <c r="G48" s="5" t="s">
        <v>600</v>
      </c>
      <c r="H48" s="5" t="s">
        <v>299</v>
      </c>
      <c r="I48" s="45" t="s">
        <v>1313</v>
      </c>
      <c r="J48" s="5" t="s">
        <v>1271</v>
      </c>
    </row>
    <row r="49" ht="14.25" customHeight="1">
      <c r="A49" s="5" t="s">
        <v>303</v>
      </c>
      <c r="B49" s="5" t="s">
        <v>297</v>
      </c>
      <c r="C49" s="5" t="s">
        <v>304</v>
      </c>
      <c r="D49" s="5">
        <v>42.7346</v>
      </c>
      <c r="E49" s="5">
        <v>-84.4808</v>
      </c>
      <c r="F49" s="5" t="s">
        <v>16</v>
      </c>
      <c r="G49" s="5" t="s">
        <v>1221</v>
      </c>
      <c r="H49" s="5" t="s">
        <v>1314</v>
      </c>
      <c r="I49" s="45" t="s">
        <v>1315</v>
      </c>
      <c r="J49" s="5" t="s">
        <v>1316</v>
      </c>
    </row>
    <row r="50" ht="14.25" customHeight="1">
      <c r="A50" s="4" t="s">
        <v>308</v>
      </c>
      <c r="B50" s="5" t="s">
        <v>297</v>
      </c>
      <c r="C50" s="4" t="s">
        <v>309</v>
      </c>
      <c r="D50" s="4">
        <v>42.7346</v>
      </c>
      <c r="E50" s="4">
        <v>-84.4808</v>
      </c>
      <c r="F50" s="4" t="s">
        <v>16</v>
      </c>
      <c r="G50" s="4" t="s">
        <v>1317</v>
      </c>
      <c r="H50" s="4" t="s">
        <v>310</v>
      </c>
      <c r="I50" s="46" t="s">
        <v>1318</v>
      </c>
      <c r="J50" s="4" t="s">
        <v>1319</v>
      </c>
    </row>
    <row r="51" ht="14.25" customHeight="1">
      <c r="A51" s="4" t="s">
        <v>314</v>
      </c>
      <c r="B51" s="5" t="s">
        <v>297</v>
      </c>
      <c r="C51" s="5" t="s">
        <v>315</v>
      </c>
      <c r="D51" s="5">
        <v>42.7309</v>
      </c>
      <c r="E51" s="5">
        <v>-84.4832</v>
      </c>
      <c r="F51" s="4" t="s">
        <v>16</v>
      </c>
      <c r="G51" s="4" t="s">
        <v>1320</v>
      </c>
      <c r="H51" s="4" t="s">
        <v>316</v>
      </c>
      <c r="I51" s="45" t="s">
        <v>1321</v>
      </c>
      <c r="J51" s="4" t="s">
        <v>1322</v>
      </c>
    </row>
    <row r="52" ht="14.25" customHeight="1">
      <c r="A52" s="5" t="s">
        <v>319</v>
      </c>
      <c r="B52" s="5" t="s">
        <v>320</v>
      </c>
      <c r="C52" s="4" t="s">
        <v>321</v>
      </c>
      <c r="D52" s="4">
        <v>42.5063</v>
      </c>
      <c r="E52" s="4">
        <v>-83.3776</v>
      </c>
      <c r="F52" s="4" t="s">
        <v>16</v>
      </c>
      <c r="G52" s="5" t="s">
        <v>600</v>
      </c>
      <c r="H52" s="5" t="s">
        <v>1323</v>
      </c>
      <c r="I52" s="47" t="s">
        <v>1324</v>
      </c>
      <c r="J52" s="5" t="s">
        <v>1325</v>
      </c>
    </row>
    <row r="53" ht="14.25" customHeight="1">
      <c r="A53" s="5" t="s">
        <v>326</v>
      </c>
      <c r="B53" s="5" t="s">
        <v>261</v>
      </c>
      <c r="C53" s="5" t="s">
        <v>327</v>
      </c>
      <c r="D53" s="5">
        <v>43.0148</v>
      </c>
      <c r="E53" s="5">
        <v>-83.6893</v>
      </c>
      <c r="F53" s="5" t="s">
        <v>16</v>
      </c>
      <c r="G53" s="5" t="s">
        <v>1221</v>
      </c>
      <c r="H53" s="5" t="s">
        <v>1326</v>
      </c>
      <c r="I53" s="47" t="s">
        <v>1327</v>
      </c>
      <c r="J53" s="5" t="s">
        <v>1328</v>
      </c>
    </row>
    <row r="54" ht="14.25" customHeight="1">
      <c r="A54" s="5" t="s">
        <v>334</v>
      </c>
      <c r="B54" s="5" t="s">
        <v>116</v>
      </c>
      <c r="C54" s="5" t="s">
        <v>335</v>
      </c>
      <c r="D54" s="5">
        <v>42.723</v>
      </c>
      <c r="E54" s="5">
        <v>-84.5527</v>
      </c>
      <c r="F54" s="5" t="s">
        <v>16</v>
      </c>
      <c r="G54" s="5" t="s">
        <v>1208</v>
      </c>
      <c r="H54" s="5" t="s">
        <v>1329</v>
      </c>
      <c r="I54" s="45" t="s">
        <v>1330</v>
      </c>
      <c r="J54" s="5" t="s">
        <v>1331</v>
      </c>
    </row>
    <row r="55" ht="14.25" customHeight="1">
      <c r="A55" s="4" t="s">
        <v>341</v>
      </c>
      <c r="B55" s="5" t="s">
        <v>116</v>
      </c>
      <c r="C55" s="4" t="s">
        <v>342</v>
      </c>
      <c r="D55" s="4">
        <v>42.7333</v>
      </c>
      <c r="E55" s="5">
        <v>-84.5518</v>
      </c>
      <c r="F55" s="4" t="s">
        <v>16</v>
      </c>
      <c r="G55" s="4" t="s">
        <v>1332</v>
      </c>
      <c r="H55" s="4" t="s">
        <v>1333</v>
      </c>
      <c r="I55" s="46" t="s">
        <v>344</v>
      </c>
      <c r="J55" s="4" t="s">
        <v>1333</v>
      </c>
    </row>
    <row r="56" ht="14.25" customHeight="1">
      <c r="A56" s="4" t="s">
        <v>349</v>
      </c>
      <c r="B56" s="5" t="s">
        <v>116</v>
      </c>
      <c r="C56" s="5" t="s">
        <v>199</v>
      </c>
      <c r="D56" s="5">
        <v>42.7362</v>
      </c>
      <c r="E56" s="5">
        <v>-84.5513</v>
      </c>
      <c r="F56" s="4" t="s">
        <v>16</v>
      </c>
      <c r="G56" s="4" t="s">
        <v>1334</v>
      </c>
      <c r="H56" s="4" t="s">
        <v>350</v>
      </c>
      <c r="I56" s="46" t="s">
        <v>351</v>
      </c>
      <c r="J56" s="4" t="s">
        <v>350</v>
      </c>
    </row>
    <row r="57" ht="14.25" customHeight="1">
      <c r="A57" s="5" t="s">
        <v>1335</v>
      </c>
      <c r="B57" s="5" t="s">
        <v>116</v>
      </c>
      <c r="C57" s="5" t="s">
        <v>199</v>
      </c>
      <c r="D57" s="5">
        <v>42.7362</v>
      </c>
      <c r="E57" s="5">
        <v>-84.5513</v>
      </c>
      <c r="F57" s="5" t="s">
        <v>16</v>
      </c>
      <c r="G57" s="5" t="s">
        <v>1208</v>
      </c>
      <c r="H57" s="5" t="s">
        <v>1336</v>
      </c>
      <c r="I57" s="47" t="s">
        <v>1337</v>
      </c>
      <c r="J57" s="5" t="s">
        <v>1338</v>
      </c>
    </row>
    <row r="58" ht="14.25" customHeight="1">
      <c r="A58" s="4" t="s">
        <v>355</v>
      </c>
      <c r="B58" s="5" t="s">
        <v>116</v>
      </c>
      <c r="C58" s="5" t="s">
        <v>356</v>
      </c>
      <c r="D58" s="5">
        <v>42.7325</v>
      </c>
      <c r="E58" s="5">
        <v>-84.5419</v>
      </c>
      <c r="F58" s="4" t="s">
        <v>16</v>
      </c>
      <c r="G58" s="4" t="s">
        <v>1339</v>
      </c>
      <c r="H58" s="4" t="s">
        <v>357</v>
      </c>
      <c r="I58" s="45" t="s">
        <v>1340</v>
      </c>
      <c r="J58" s="4" t="s">
        <v>1341</v>
      </c>
    </row>
    <row r="59" ht="14.25" customHeight="1">
      <c r="A59" s="5" t="s">
        <v>361</v>
      </c>
      <c r="B59" s="5" t="s">
        <v>116</v>
      </c>
      <c r="C59" s="5" t="s">
        <v>1342</v>
      </c>
      <c r="D59" s="4">
        <v>47.1216</v>
      </c>
      <c r="E59" s="4">
        <v>-88.5694</v>
      </c>
      <c r="F59" s="4" t="s">
        <v>16</v>
      </c>
      <c r="G59" s="5" t="s">
        <v>1221</v>
      </c>
      <c r="H59" s="5" t="s">
        <v>364</v>
      </c>
      <c r="I59" s="45" t="s">
        <v>1343</v>
      </c>
      <c r="J59" s="5" t="s">
        <v>1344</v>
      </c>
    </row>
    <row r="60" ht="14.25" customHeight="1">
      <c r="A60" s="5" t="s">
        <v>367</v>
      </c>
      <c r="B60" s="5" t="s">
        <v>368</v>
      </c>
      <c r="C60" s="5" t="s">
        <v>369</v>
      </c>
      <c r="D60" s="5">
        <v>42.3705</v>
      </c>
      <c r="E60" s="5">
        <v>-83.4839</v>
      </c>
      <c r="F60" s="4" t="s">
        <v>16</v>
      </c>
      <c r="G60" s="5" t="s">
        <v>1221</v>
      </c>
      <c r="H60" s="5" t="s">
        <v>370</v>
      </c>
      <c r="I60" s="47" t="s">
        <v>1345</v>
      </c>
      <c r="J60" s="5" t="s">
        <v>1346</v>
      </c>
    </row>
    <row r="61" ht="14.25" customHeight="1">
      <c r="A61" s="5" t="s">
        <v>374</v>
      </c>
      <c r="B61" s="5" t="s">
        <v>375</v>
      </c>
      <c r="C61" s="5" t="s">
        <v>1347</v>
      </c>
      <c r="D61" s="5">
        <v>42.6626</v>
      </c>
      <c r="E61" s="5">
        <v>-83.1866</v>
      </c>
      <c r="F61" s="5" t="s">
        <v>16</v>
      </c>
      <c r="G61" s="5" t="s">
        <v>1221</v>
      </c>
      <c r="H61" s="5" t="s">
        <v>1348</v>
      </c>
      <c r="I61" s="45" t="s">
        <v>1349</v>
      </c>
      <c r="J61" s="5" t="s">
        <v>1350</v>
      </c>
    </row>
    <row r="62" ht="14.25" customHeight="1">
      <c r="A62" s="5" t="s">
        <v>383</v>
      </c>
      <c r="B62" s="5" t="s">
        <v>384</v>
      </c>
      <c r="C62" s="5" t="s">
        <v>385</v>
      </c>
      <c r="D62" s="5">
        <v>42.4739</v>
      </c>
      <c r="E62" s="5">
        <v>-83.2441</v>
      </c>
      <c r="F62" s="5" t="s">
        <v>16</v>
      </c>
      <c r="G62" s="5" t="s">
        <v>1221</v>
      </c>
      <c r="H62" s="5" t="s">
        <v>1351</v>
      </c>
      <c r="I62" s="45" t="s">
        <v>1352</v>
      </c>
      <c r="J62" s="5" t="s">
        <v>1353</v>
      </c>
    </row>
    <row r="63" ht="14.25" customHeight="1">
      <c r="A63" s="4" t="s">
        <v>1354</v>
      </c>
      <c r="B63" s="5" t="s">
        <v>384</v>
      </c>
      <c r="C63" s="5" t="s">
        <v>1355</v>
      </c>
      <c r="D63" s="5">
        <v>42.4782616</v>
      </c>
      <c r="E63" s="5">
        <v>-83.254634</v>
      </c>
      <c r="F63" s="4" t="s">
        <v>16</v>
      </c>
      <c r="G63" s="4" t="s">
        <v>1356</v>
      </c>
      <c r="H63" s="4" t="s">
        <v>1357</v>
      </c>
      <c r="I63" s="45" t="s">
        <v>1352</v>
      </c>
      <c r="J63" s="4" t="s">
        <v>1358</v>
      </c>
    </row>
    <row r="64" ht="14.25" customHeight="1">
      <c r="A64" s="5" t="s">
        <v>391</v>
      </c>
      <c r="B64" s="5" t="s">
        <v>392</v>
      </c>
      <c r="C64" s="5" t="s">
        <v>393</v>
      </c>
      <c r="D64" s="5">
        <v>42.560326</v>
      </c>
      <c r="E64" s="5">
        <v>-83.11544</v>
      </c>
      <c r="F64" s="5" t="s">
        <v>16</v>
      </c>
      <c r="G64" s="5" t="s">
        <v>1221</v>
      </c>
      <c r="H64" s="5" t="s">
        <v>1359</v>
      </c>
      <c r="I64" s="47" t="s">
        <v>1360</v>
      </c>
      <c r="J64" s="5" t="s">
        <v>1361</v>
      </c>
    </row>
    <row r="65" ht="14.25" customHeight="1">
      <c r="A65" s="5" t="s">
        <v>1362</v>
      </c>
      <c r="B65" s="5" t="s">
        <v>1363</v>
      </c>
      <c r="C65" s="5" t="s">
        <v>408</v>
      </c>
      <c r="D65" s="4">
        <v>42.7359</v>
      </c>
      <c r="E65" s="4">
        <v>-84.5516</v>
      </c>
      <c r="F65" s="4" t="s">
        <v>16</v>
      </c>
      <c r="G65" s="5" t="s">
        <v>1208</v>
      </c>
      <c r="H65" s="5" t="s">
        <v>402</v>
      </c>
      <c r="I65" s="47" t="s">
        <v>1364</v>
      </c>
      <c r="J65" s="5" t="s">
        <v>1365</v>
      </c>
    </row>
    <row r="66" ht="14.25" customHeight="1">
      <c r="A66" s="5" t="s">
        <v>441</v>
      </c>
      <c r="B66" s="5"/>
      <c r="F66" s="4" t="s">
        <v>16</v>
      </c>
      <c r="G66" s="5" t="s">
        <v>600</v>
      </c>
      <c r="H66" s="5" t="s">
        <v>443</v>
      </c>
      <c r="I66" s="47" t="s">
        <v>1366</v>
      </c>
      <c r="J66" s="5" t="s">
        <v>446</v>
      </c>
    </row>
    <row r="67" ht="14.25" customHeight="1">
      <c r="A67" s="5" t="s">
        <v>447</v>
      </c>
      <c r="B67" s="5"/>
      <c r="F67" s="4" t="s">
        <v>16</v>
      </c>
      <c r="G67" s="5" t="s">
        <v>600</v>
      </c>
      <c r="H67" s="5" t="s">
        <v>299</v>
      </c>
      <c r="I67" s="47" t="s">
        <v>1367</v>
      </c>
      <c r="J67" s="5" t="s">
        <v>446</v>
      </c>
    </row>
    <row r="68" ht="14.25" customHeight="1">
      <c r="A68" s="5" t="s">
        <v>453</v>
      </c>
      <c r="B68" s="5"/>
      <c r="F68" s="4" t="s">
        <v>16</v>
      </c>
      <c r="G68" s="5" t="s">
        <v>600</v>
      </c>
      <c r="H68" s="5" t="s">
        <v>456</v>
      </c>
      <c r="I68" s="45" t="s">
        <v>453</v>
      </c>
      <c r="J68" s="5" t="s">
        <v>446</v>
      </c>
    </row>
    <row r="69" ht="14.25" customHeight="1">
      <c r="A69" s="5" t="s">
        <v>459</v>
      </c>
      <c r="B69" s="5"/>
      <c r="C69" s="5"/>
      <c r="F69" s="4" t="s">
        <v>16</v>
      </c>
      <c r="G69" s="5" t="s">
        <v>1368</v>
      </c>
      <c r="H69" s="5" t="s">
        <v>461</v>
      </c>
      <c r="I69" s="47" t="s">
        <v>1369</v>
      </c>
      <c r="J69" s="5" t="s">
        <v>1370</v>
      </c>
    </row>
    <row r="70" ht="14.25" customHeight="1">
      <c r="A70" s="5" t="s">
        <v>466</v>
      </c>
      <c r="B70" s="5"/>
      <c r="C70" s="5"/>
      <c r="D70" s="5"/>
      <c r="E70" s="5"/>
      <c r="F70" s="5" t="s">
        <v>16</v>
      </c>
      <c r="G70" s="5" t="s">
        <v>1212</v>
      </c>
      <c r="H70" s="5" t="s">
        <v>468</v>
      </c>
      <c r="I70" s="45" t="s">
        <v>1371</v>
      </c>
      <c r="J70" s="5" t="s">
        <v>1372</v>
      </c>
    </row>
    <row r="71" ht="14.25" customHeight="1">
      <c r="A71" s="5" t="s">
        <v>472</v>
      </c>
      <c r="B71" s="5"/>
      <c r="C71" s="5"/>
      <c r="D71" s="5"/>
      <c r="E71" s="5"/>
      <c r="F71" s="5" t="s">
        <v>16</v>
      </c>
      <c r="G71" s="5" t="s">
        <v>1368</v>
      </c>
      <c r="H71" s="5" t="s">
        <v>474</v>
      </c>
      <c r="I71" s="45" t="s">
        <v>1373</v>
      </c>
      <c r="J71" s="5" t="s">
        <v>1374</v>
      </c>
    </row>
    <row r="72" ht="14.25" customHeight="1">
      <c r="A72" s="5" t="s">
        <v>477</v>
      </c>
      <c r="B72" s="5"/>
      <c r="C72" s="5"/>
      <c r="D72" s="5"/>
      <c r="E72" s="5"/>
      <c r="F72" s="5" t="s">
        <v>16</v>
      </c>
      <c r="G72" s="5" t="s">
        <v>1368</v>
      </c>
      <c r="H72" s="5" t="s">
        <v>1375</v>
      </c>
      <c r="I72" s="45" t="s">
        <v>477</v>
      </c>
      <c r="J72" s="5" t="s">
        <v>1376</v>
      </c>
    </row>
    <row r="73" ht="14.25" customHeight="1">
      <c r="A73" s="5" t="s">
        <v>482</v>
      </c>
      <c r="B73" s="5"/>
      <c r="F73" s="4" t="s">
        <v>16</v>
      </c>
      <c r="G73" s="5" t="s">
        <v>600</v>
      </c>
      <c r="H73" s="5" t="s">
        <v>483</v>
      </c>
      <c r="I73" s="47" t="s">
        <v>1377</v>
      </c>
      <c r="J73" s="5" t="s">
        <v>446</v>
      </c>
    </row>
    <row r="74" ht="14.25" customHeight="1">
      <c r="A74" s="5" t="s">
        <v>485</v>
      </c>
      <c r="B74" s="5"/>
      <c r="F74" s="4" t="s">
        <v>16</v>
      </c>
      <c r="G74" s="5" t="s">
        <v>600</v>
      </c>
      <c r="H74" s="5" t="s">
        <v>487</v>
      </c>
      <c r="I74" s="47" t="s">
        <v>1378</v>
      </c>
      <c r="J74" s="5" t="s">
        <v>1379</v>
      </c>
    </row>
    <row r="75" ht="14.25" customHeight="1">
      <c r="A75" s="5" t="s">
        <v>492</v>
      </c>
      <c r="B75" s="5"/>
      <c r="F75" s="4" t="s">
        <v>16</v>
      </c>
      <c r="G75" s="5" t="s">
        <v>600</v>
      </c>
      <c r="H75" s="5" t="s">
        <v>299</v>
      </c>
      <c r="I75" s="45" t="s">
        <v>492</v>
      </c>
      <c r="J75" s="5" t="s">
        <v>1229</v>
      </c>
    </row>
    <row r="76" ht="14.25" customHeight="1">
      <c r="A76" s="5" t="s">
        <v>496</v>
      </c>
      <c r="B76" s="5"/>
      <c r="F76" s="4" t="s">
        <v>16</v>
      </c>
      <c r="G76" s="5" t="s">
        <v>600</v>
      </c>
      <c r="H76" s="5" t="s">
        <v>299</v>
      </c>
      <c r="I76" s="47" t="s">
        <v>1380</v>
      </c>
      <c r="J76" s="5" t="s">
        <v>446</v>
      </c>
    </row>
    <row r="77" ht="14.25" customHeight="1">
      <c r="A77" s="4" t="s">
        <v>502</v>
      </c>
      <c r="F77" s="4" t="s">
        <v>16</v>
      </c>
      <c r="G77" s="4" t="s">
        <v>1381</v>
      </c>
      <c r="H77" s="4" t="s">
        <v>504</v>
      </c>
      <c r="I77" s="46" t="s">
        <v>505</v>
      </c>
      <c r="J77" s="4" t="s">
        <v>504</v>
      </c>
    </row>
    <row r="78" ht="14.25" customHeight="1">
      <c r="A78" s="5" t="s">
        <v>509</v>
      </c>
      <c r="B78" s="5"/>
      <c r="C78" s="5"/>
      <c r="F78" s="4" t="s">
        <v>16</v>
      </c>
      <c r="G78" s="5" t="s">
        <v>1368</v>
      </c>
      <c r="H78" s="5" t="s">
        <v>1382</v>
      </c>
      <c r="I78" s="45" t="s">
        <v>509</v>
      </c>
      <c r="J78" s="5" t="s">
        <v>1328</v>
      </c>
    </row>
    <row r="79" ht="14.25" customHeight="1">
      <c r="A79" s="4" t="s">
        <v>514</v>
      </c>
      <c r="F79" s="4" t="s">
        <v>16</v>
      </c>
      <c r="G79" s="4" t="s">
        <v>1383</v>
      </c>
      <c r="H79" s="4" t="s">
        <v>1384</v>
      </c>
      <c r="I79" s="45" t="s">
        <v>1385</v>
      </c>
      <c r="J79" s="4" t="s">
        <v>1386</v>
      </c>
    </row>
    <row r="80" ht="14.25" customHeight="1">
      <c r="A80" s="5" t="s">
        <v>521</v>
      </c>
      <c r="B80" s="5" t="s">
        <v>522</v>
      </c>
      <c r="C80" s="5" t="s">
        <v>523</v>
      </c>
      <c r="D80" s="5">
        <v>43.6845</v>
      </c>
      <c r="E80" s="5">
        <v>-79.7604</v>
      </c>
      <c r="F80" s="5" t="s">
        <v>524</v>
      </c>
      <c r="G80" s="5" t="s">
        <v>1387</v>
      </c>
      <c r="H80" s="5" t="s">
        <v>1388</v>
      </c>
      <c r="I80" s="45" t="s">
        <v>1389</v>
      </c>
      <c r="J80" s="5" t="s">
        <v>1390</v>
      </c>
    </row>
    <row r="81" ht="14.25" customHeight="1">
      <c r="A81" s="5" t="s">
        <v>531</v>
      </c>
      <c r="B81" s="5" t="s">
        <v>522</v>
      </c>
      <c r="C81" s="5" t="s">
        <v>1391</v>
      </c>
      <c r="D81" s="5">
        <v>43.68333</v>
      </c>
      <c r="E81" s="5">
        <v>-79.76667</v>
      </c>
      <c r="F81" s="5" t="s">
        <v>524</v>
      </c>
      <c r="G81" s="5" t="s">
        <v>1392</v>
      </c>
      <c r="H81" s="5" t="s">
        <v>533</v>
      </c>
      <c r="I81" s="45" t="s">
        <v>1393</v>
      </c>
      <c r="J81" s="5" t="s">
        <v>1394</v>
      </c>
    </row>
    <row r="82" ht="14.25" customHeight="1">
      <c r="A82" s="4" t="s">
        <v>1395</v>
      </c>
      <c r="B82" s="4" t="s">
        <v>522</v>
      </c>
      <c r="C82" s="5" t="s">
        <v>539</v>
      </c>
      <c r="D82" s="5">
        <v>43.6574</v>
      </c>
      <c r="E82" s="5">
        <v>-79.3802</v>
      </c>
      <c r="F82" s="4" t="s">
        <v>524</v>
      </c>
      <c r="G82" s="4" t="s">
        <v>1396</v>
      </c>
      <c r="H82" s="4" t="s">
        <v>1397</v>
      </c>
      <c r="I82" s="45" t="s">
        <v>1398</v>
      </c>
      <c r="J82" s="4" t="s">
        <v>545</v>
      </c>
    </row>
    <row r="83" ht="14.25" customHeight="1">
      <c r="A83" s="5" t="s">
        <v>546</v>
      </c>
      <c r="B83" s="5" t="s">
        <v>547</v>
      </c>
      <c r="C83" s="5" t="s">
        <v>548</v>
      </c>
      <c r="D83" s="5">
        <v>43.13943</v>
      </c>
      <c r="E83" s="5">
        <v>-80.26564</v>
      </c>
      <c r="F83" s="5" t="s">
        <v>524</v>
      </c>
      <c r="G83" s="5" t="s">
        <v>1387</v>
      </c>
      <c r="H83" s="5" t="s">
        <v>549</v>
      </c>
      <c r="I83" s="45" t="s">
        <v>1399</v>
      </c>
      <c r="J83" s="5" t="s">
        <v>1400</v>
      </c>
    </row>
    <row r="84" ht="14.25" customHeight="1">
      <c r="A84" s="5" t="s">
        <v>554</v>
      </c>
      <c r="B84" s="5" t="s">
        <v>547</v>
      </c>
      <c r="C84" s="5" t="s">
        <v>555</v>
      </c>
      <c r="D84" s="5">
        <v>43.13943</v>
      </c>
      <c r="E84" s="5">
        <v>-80.26564</v>
      </c>
      <c r="F84" s="5" t="s">
        <v>524</v>
      </c>
      <c r="G84" s="5" t="s">
        <v>1317</v>
      </c>
      <c r="H84" s="5" t="s">
        <v>556</v>
      </c>
      <c r="I84" s="45" t="s">
        <v>1401</v>
      </c>
      <c r="J84" s="5" t="s">
        <v>1402</v>
      </c>
    </row>
    <row r="85" ht="14.25" customHeight="1">
      <c r="A85" s="5" t="s">
        <v>560</v>
      </c>
      <c r="B85" s="5" t="s">
        <v>561</v>
      </c>
      <c r="C85" s="5" t="s">
        <v>1403</v>
      </c>
      <c r="D85" s="5">
        <v>43.39599</v>
      </c>
      <c r="E85" s="5">
        <v>-79.76131</v>
      </c>
      <c r="F85" s="5" t="s">
        <v>524</v>
      </c>
      <c r="G85" s="5" t="s">
        <v>1404</v>
      </c>
      <c r="H85" s="5" t="s">
        <v>563</v>
      </c>
      <c r="I85" s="45" t="s">
        <v>1405</v>
      </c>
      <c r="J85" s="5" t="s">
        <v>1406</v>
      </c>
    </row>
    <row r="86" ht="14.25" customHeight="1">
      <c r="A86" s="5" t="s">
        <v>568</v>
      </c>
      <c r="B86" s="5" t="s">
        <v>569</v>
      </c>
      <c r="C86" s="5" t="s">
        <v>570</v>
      </c>
      <c r="D86" s="5">
        <v>43.4101</v>
      </c>
      <c r="E86" s="5">
        <v>-80.3329</v>
      </c>
      <c r="F86" s="5" t="s">
        <v>524</v>
      </c>
      <c r="G86" s="5" t="s">
        <v>1208</v>
      </c>
      <c r="H86" s="5" t="s">
        <v>571</v>
      </c>
      <c r="I86" s="47" t="s">
        <v>1407</v>
      </c>
      <c r="J86" s="5" t="s">
        <v>1408</v>
      </c>
    </row>
    <row r="87" ht="14.25" customHeight="1">
      <c r="A87" s="5" t="s">
        <v>576</v>
      </c>
      <c r="B87" s="5" t="s">
        <v>577</v>
      </c>
      <c r="C87" s="5" t="s">
        <v>578</v>
      </c>
      <c r="D87" s="5">
        <v>42.4084</v>
      </c>
      <c r="E87" s="5">
        <v>-82.1853</v>
      </c>
      <c r="F87" s="5" t="s">
        <v>524</v>
      </c>
      <c r="G87" s="5" t="s">
        <v>1409</v>
      </c>
      <c r="H87" s="5" t="s">
        <v>579</v>
      </c>
      <c r="I87" s="45" t="s">
        <v>1410</v>
      </c>
      <c r="J87" s="5" t="s">
        <v>1411</v>
      </c>
    </row>
    <row r="88" ht="14.25" customHeight="1">
      <c r="A88" s="5" t="s">
        <v>584</v>
      </c>
      <c r="B88" s="5" t="s">
        <v>577</v>
      </c>
      <c r="C88" s="5" t="s">
        <v>578</v>
      </c>
      <c r="D88" s="5">
        <v>42.4084</v>
      </c>
      <c r="E88" s="5">
        <v>-82.1853</v>
      </c>
      <c r="F88" s="5" t="s">
        <v>524</v>
      </c>
      <c r="G88" s="5" t="s">
        <v>1412</v>
      </c>
      <c r="H88" s="5" t="s">
        <v>585</v>
      </c>
      <c r="I88" s="45" t="s">
        <v>1413</v>
      </c>
      <c r="J88" s="5" t="s">
        <v>1414</v>
      </c>
    </row>
    <row r="89" ht="14.25" customHeight="1">
      <c r="A89" s="5" t="s">
        <v>590</v>
      </c>
      <c r="B89" s="5" t="s">
        <v>577</v>
      </c>
      <c r="C89" s="5" t="s">
        <v>591</v>
      </c>
      <c r="D89" s="5">
        <v>42.40527</v>
      </c>
      <c r="E89" s="5">
        <v>-82.1878</v>
      </c>
      <c r="F89" s="5" t="s">
        <v>524</v>
      </c>
      <c r="G89" s="5" t="s">
        <v>1415</v>
      </c>
      <c r="H89" s="5" t="s">
        <v>592</v>
      </c>
      <c r="I89" s="45" t="s">
        <v>1416</v>
      </c>
      <c r="J89" s="5" t="s">
        <v>1417</v>
      </c>
    </row>
    <row r="90" ht="14.25" customHeight="1">
      <c r="A90" s="5" t="s">
        <v>1418</v>
      </c>
      <c r="B90" s="5" t="s">
        <v>598</v>
      </c>
      <c r="C90" s="5" t="s">
        <v>599</v>
      </c>
      <c r="D90" s="5">
        <v>42.1736</v>
      </c>
      <c r="E90" s="5">
        <v>-82.8236</v>
      </c>
      <c r="F90" s="5" t="s">
        <v>524</v>
      </c>
      <c r="G90" s="5" t="s">
        <v>1368</v>
      </c>
      <c r="H90" s="5" t="s">
        <v>1419</v>
      </c>
      <c r="I90" s="45" t="s">
        <v>1420</v>
      </c>
      <c r="J90" s="5" t="s">
        <v>1421</v>
      </c>
    </row>
    <row r="91" ht="18.0" customHeight="1">
      <c r="A91" s="4" t="s">
        <v>606</v>
      </c>
      <c r="B91" s="5" t="s">
        <v>607</v>
      </c>
      <c r="C91" s="4" t="s">
        <v>608</v>
      </c>
      <c r="D91" s="4">
        <v>43.524</v>
      </c>
      <c r="E91" s="4">
        <v>-80.226</v>
      </c>
      <c r="F91" s="4" t="s">
        <v>524</v>
      </c>
      <c r="G91" s="4" t="s">
        <v>1422</v>
      </c>
      <c r="H91" s="4" t="s">
        <v>1423</v>
      </c>
      <c r="I91" s="45" t="s">
        <v>1424</v>
      </c>
      <c r="J91" s="4" t="s">
        <v>1425</v>
      </c>
    </row>
    <row r="92" ht="14.25" customHeight="1">
      <c r="A92" s="5" t="s">
        <v>614</v>
      </c>
      <c r="B92" s="5" t="s">
        <v>607</v>
      </c>
      <c r="C92" s="5" t="s">
        <v>615</v>
      </c>
      <c r="D92" s="5">
        <v>43.5329</v>
      </c>
      <c r="E92" s="5">
        <v>-80.2262</v>
      </c>
      <c r="F92" s="4" t="s">
        <v>524</v>
      </c>
      <c r="G92" s="5" t="s">
        <v>1196</v>
      </c>
      <c r="H92" s="5" t="s">
        <v>616</v>
      </c>
      <c r="I92" s="47" t="s">
        <v>1426</v>
      </c>
    </row>
    <row r="93" ht="14.25" customHeight="1">
      <c r="A93" s="5" t="s">
        <v>1427</v>
      </c>
      <c r="B93" s="5" t="s">
        <v>607</v>
      </c>
      <c r="C93" s="5" t="s">
        <v>1428</v>
      </c>
      <c r="D93" s="5">
        <v>43.5329</v>
      </c>
      <c r="E93" s="5">
        <v>-80.2262</v>
      </c>
      <c r="F93" s="4" t="s">
        <v>524</v>
      </c>
      <c r="G93" s="5" t="s">
        <v>1196</v>
      </c>
      <c r="H93" s="5" t="s">
        <v>616</v>
      </c>
      <c r="I93" s="47" t="s">
        <v>1426</v>
      </c>
    </row>
    <row r="94" ht="14.25" customHeight="1">
      <c r="A94" s="34" t="s">
        <v>621</v>
      </c>
      <c r="B94" s="4" t="s">
        <v>607</v>
      </c>
      <c r="C94" s="5" t="s">
        <v>1429</v>
      </c>
      <c r="D94" s="5">
        <v>43.5329</v>
      </c>
      <c r="E94" s="5">
        <v>-80.2262</v>
      </c>
      <c r="F94" s="4" t="s">
        <v>524</v>
      </c>
      <c r="G94" s="4" t="s">
        <v>1430</v>
      </c>
      <c r="H94" s="4" t="s">
        <v>623</v>
      </c>
      <c r="I94" s="45" t="s">
        <v>1431</v>
      </c>
      <c r="J94" s="4" t="s">
        <v>628</v>
      </c>
    </row>
    <row r="95" ht="14.25" customHeight="1">
      <c r="A95" s="4" t="s">
        <v>629</v>
      </c>
      <c r="B95" s="5" t="s">
        <v>630</v>
      </c>
      <c r="C95" s="5" t="s">
        <v>631</v>
      </c>
      <c r="D95" s="5">
        <v>43.25689</v>
      </c>
      <c r="E95" s="5">
        <v>-79.90091</v>
      </c>
      <c r="F95" s="4" t="s">
        <v>524</v>
      </c>
      <c r="G95" s="4" t="s">
        <v>1432</v>
      </c>
      <c r="H95" s="4" t="s">
        <v>1433</v>
      </c>
      <c r="I95" s="46" t="s">
        <v>633</v>
      </c>
      <c r="J95" s="4" t="s">
        <v>1433</v>
      </c>
    </row>
    <row r="96" ht="14.25" customHeight="1">
      <c r="A96" s="5" t="s">
        <v>637</v>
      </c>
      <c r="B96" s="5" t="s">
        <v>630</v>
      </c>
      <c r="C96" s="5" t="s">
        <v>638</v>
      </c>
      <c r="D96" s="5">
        <v>43.25689</v>
      </c>
      <c r="E96" s="5">
        <v>-79.90091</v>
      </c>
      <c r="F96" s="4" t="s">
        <v>524</v>
      </c>
      <c r="G96" s="5" t="s">
        <v>1196</v>
      </c>
      <c r="H96" s="5" t="s">
        <v>639</v>
      </c>
      <c r="I96" s="45" t="s">
        <v>1434</v>
      </c>
    </row>
    <row r="97" ht="14.25" customHeight="1">
      <c r="A97" s="5" t="s">
        <v>644</v>
      </c>
      <c r="B97" s="5" t="s">
        <v>630</v>
      </c>
      <c r="C97" s="5" t="s">
        <v>645</v>
      </c>
      <c r="D97" s="5">
        <v>43.2488</v>
      </c>
      <c r="E97" s="5">
        <v>-79.8708</v>
      </c>
      <c r="F97" s="4" t="s">
        <v>524</v>
      </c>
      <c r="G97" s="5" t="s">
        <v>1221</v>
      </c>
      <c r="H97" s="5" t="s">
        <v>1435</v>
      </c>
      <c r="I97" s="45" t="s">
        <v>1436</v>
      </c>
      <c r="J97" s="5" t="s">
        <v>1437</v>
      </c>
    </row>
    <row r="98" ht="14.25" customHeight="1">
      <c r="A98" s="4" t="s">
        <v>652</v>
      </c>
      <c r="B98" s="5" t="s">
        <v>630</v>
      </c>
      <c r="C98" s="5" t="s">
        <v>653</v>
      </c>
      <c r="D98" s="5">
        <v>43.2559</v>
      </c>
      <c r="E98" s="5">
        <v>-79.8729</v>
      </c>
      <c r="F98" s="4" t="s">
        <v>524</v>
      </c>
      <c r="G98" s="4" t="s">
        <v>1438</v>
      </c>
      <c r="H98" s="4" t="s">
        <v>1439</v>
      </c>
      <c r="I98" s="46" t="s">
        <v>655</v>
      </c>
      <c r="J98" s="4" t="s">
        <v>1439</v>
      </c>
    </row>
    <row r="99" ht="14.25" customHeight="1">
      <c r="A99" s="4" t="s">
        <v>659</v>
      </c>
      <c r="B99" s="4" t="s">
        <v>660</v>
      </c>
      <c r="C99" s="5" t="s">
        <v>661</v>
      </c>
      <c r="D99" s="5">
        <v>44.2435</v>
      </c>
      <c r="E99" s="5">
        <v>-76.5113</v>
      </c>
      <c r="F99" s="4" t="s">
        <v>524</v>
      </c>
      <c r="G99" s="4" t="s">
        <v>1440</v>
      </c>
      <c r="H99" s="4" t="s">
        <v>1441</v>
      </c>
      <c r="I99" s="45" t="s">
        <v>1442</v>
      </c>
      <c r="J99" s="4" t="s">
        <v>1443</v>
      </c>
    </row>
    <row r="100" ht="14.25" customHeight="1">
      <c r="A100" s="4" t="s">
        <v>668</v>
      </c>
      <c r="B100" s="4" t="s">
        <v>660</v>
      </c>
      <c r="C100" s="5" t="s">
        <v>661</v>
      </c>
      <c r="D100" s="5">
        <v>44.2435</v>
      </c>
      <c r="E100" s="5">
        <v>-76.5113</v>
      </c>
      <c r="F100" s="4" t="s">
        <v>524</v>
      </c>
      <c r="G100" s="4" t="s">
        <v>1444</v>
      </c>
      <c r="H100" s="4" t="s">
        <v>669</v>
      </c>
      <c r="I100" s="45" t="s">
        <v>670</v>
      </c>
      <c r="J100" s="4" t="s">
        <v>672</v>
      </c>
    </row>
    <row r="101" ht="14.25" customHeight="1">
      <c r="A101" s="5" t="s">
        <v>673</v>
      </c>
      <c r="B101" s="5" t="s">
        <v>674</v>
      </c>
      <c r="C101" s="5" t="s">
        <v>675</v>
      </c>
      <c r="D101" s="5">
        <v>43.4512</v>
      </c>
      <c r="E101" s="5">
        <v>-80.4983</v>
      </c>
      <c r="F101" s="5" t="s">
        <v>524</v>
      </c>
      <c r="G101" s="5" t="s">
        <v>1221</v>
      </c>
      <c r="H101" s="5" t="s">
        <v>1445</v>
      </c>
      <c r="I101" s="47" t="s">
        <v>1446</v>
      </c>
      <c r="J101" s="5" t="s">
        <v>1447</v>
      </c>
    </row>
    <row r="102" ht="14.25" customHeight="1">
      <c r="A102" s="5" t="s">
        <v>681</v>
      </c>
      <c r="B102" s="5" t="s">
        <v>674</v>
      </c>
      <c r="C102" s="5" t="s">
        <v>682</v>
      </c>
      <c r="D102" s="5">
        <v>43.45128</v>
      </c>
      <c r="E102" s="5">
        <v>-80.51338</v>
      </c>
      <c r="F102" s="5" t="s">
        <v>524</v>
      </c>
      <c r="G102" s="5" t="s">
        <v>600</v>
      </c>
      <c r="H102" s="5" t="s">
        <v>683</v>
      </c>
      <c r="I102" s="47" t="s">
        <v>1448</v>
      </c>
      <c r="J102" s="5" t="s">
        <v>1229</v>
      </c>
    </row>
    <row r="103" ht="14.25" customHeight="1">
      <c r="A103" s="5" t="s">
        <v>1449</v>
      </c>
      <c r="B103" s="5" t="s">
        <v>674</v>
      </c>
      <c r="C103" s="5" t="s">
        <v>688</v>
      </c>
      <c r="D103" s="5">
        <v>43.45177</v>
      </c>
      <c r="E103" s="5">
        <v>-80.50126</v>
      </c>
      <c r="F103" s="4" t="s">
        <v>524</v>
      </c>
      <c r="G103" s="5" t="s">
        <v>1221</v>
      </c>
      <c r="H103" s="5" t="s">
        <v>1450</v>
      </c>
      <c r="I103" s="47" t="s">
        <v>1451</v>
      </c>
      <c r="J103" s="5" t="s">
        <v>1452</v>
      </c>
    </row>
    <row r="104" ht="14.25" customHeight="1">
      <c r="A104" s="5" t="s">
        <v>1453</v>
      </c>
      <c r="B104" s="4" t="s">
        <v>674</v>
      </c>
      <c r="C104" s="5" t="s">
        <v>1454</v>
      </c>
      <c r="D104" s="5">
        <v>43.38994</v>
      </c>
      <c r="E104" s="5">
        <v>-80.40366</v>
      </c>
      <c r="F104" s="4" t="s">
        <v>524</v>
      </c>
      <c r="G104" s="4" t="s">
        <v>1455</v>
      </c>
      <c r="H104" s="4" t="s">
        <v>696</v>
      </c>
      <c r="I104" s="45" t="s">
        <v>1456</v>
      </c>
    </row>
    <row r="105" ht="14.25" customHeight="1">
      <c r="A105" s="4" t="s">
        <v>701</v>
      </c>
      <c r="B105" s="4" t="s">
        <v>674</v>
      </c>
      <c r="C105" s="4" t="s">
        <v>702</v>
      </c>
      <c r="D105" s="4">
        <v>43.4628</v>
      </c>
      <c r="E105" s="4">
        <v>-80.4756</v>
      </c>
      <c r="F105" s="4" t="s">
        <v>524</v>
      </c>
      <c r="G105" s="4" t="s">
        <v>1457</v>
      </c>
      <c r="H105" s="4" t="s">
        <v>1458</v>
      </c>
      <c r="I105" s="45" t="s">
        <v>1459</v>
      </c>
      <c r="J105" s="4" t="s">
        <v>1460</v>
      </c>
    </row>
    <row r="106" ht="14.25" customHeight="1">
      <c r="A106" s="34" t="s">
        <v>707</v>
      </c>
      <c r="B106" s="4" t="s">
        <v>708</v>
      </c>
      <c r="C106" s="5" t="s">
        <v>709</v>
      </c>
      <c r="D106" s="5">
        <v>42.0314</v>
      </c>
      <c r="E106" s="5">
        <v>-82.5869</v>
      </c>
      <c r="F106" s="4" t="s">
        <v>524</v>
      </c>
      <c r="G106" s="4" t="s">
        <v>1461</v>
      </c>
      <c r="H106" s="4" t="s">
        <v>623</v>
      </c>
      <c r="I106" s="45" t="s">
        <v>1462</v>
      </c>
      <c r="J106" s="4" t="s">
        <v>712</v>
      </c>
    </row>
    <row r="107" ht="14.25" customHeight="1">
      <c r="A107" s="5" t="s">
        <v>713</v>
      </c>
      <c r="B107" s="5" t="s">
        <v>714</v>
      </c>
      <c r="C107" s="5" t="s">
        <v>715</v>
      </c>
      <c r="D107" s="5">
        <v>43.0149</v>
      </c>
      <c r="E107" s="5">
        <v>-81.1996</v>
      </c>
      <c r="F107" s="5" t="s">
        <v>524</v>
      </c>
      <c r="G107" s="5" t="s">
        <v>1463</v>
      </c>
      <c r="H107" s="5" t="s">
        <v>716</v>
      </c>
      <c r="I107" s="45" t="s">
        <v>1464</v>
      </c>
      <c r="J107" s="5" t="s">
        <v>1465</v>
      </c>
    </row>
    <row r="108" ht="14.25" customHeight="1">
      <c r="A108" s="5" t="s">
        <v>721</v>
      </c>
      <c r="B108" s="5" t="s">
        <v>714</v>
      </c>
      <c r="C108" s="5" t="s">
        <v>722</v>
      </c>
      <c r="D108" s="5">
        <v>43.0096</v>
      </c>
      <c r="E108" s="5">
        <v>-81.2737</v>
      </c>
      <c r="F108" s="5" t="s">
        <v>524</v>
      </c>
      <c r="G108" s="5" t="s">
        <v>1317</v>
      </c>
      <c r="H108" s="5" t="s">
        <v>723</v>
      </c>
      <c r="I108" s="45" t="s">
        <v>1466</v>
      </c>
      <c r="J108" s="5" t="s">
        <v>1467</v>
      </c>
    </row>
    <row r="109" ht="14.25" customHeight="1">
      <c r="A109" s="4" t="s">
        <v>728</v>
      </c>
      <c r="B109" s="4" t="s">
        <v>714</v>
      </c>
      <c r="C109" s="5" t="s">
        <v>729</v>
      </c>
      <c r="D109" s="5">
        <v>42.9827</v>
      </c>
      <c r="E109" s="5">
        <v>-81.2475</v>
      </c>
      <c r="F109" s="4" t="s">
        <v>524</v>
      </c>
      <c r="G109" s="4" t="s">
        <v>1468</v>
      </c>
      <c r="H109" s="4" t="s">
        <v>730</v>
      </c>
      <c r="I109" s="45" t="s">
        <v>1469</v>
      </c>
    </row>
    <row r="110" ht="14.25" customHeight="1">
      <c r="A110" s="5" t="s">
        <v>735</v>
      </c>
      <c r="B110" s="5" t="s">
        <v>714</v>
      </c>
      <c r="C110" s="5" t="s">
        <v>736</v>
      </c>
      <c r="D110" s="5">
        <v>42.9849</v>
      </c>
      <c r="E110" s="5">
        <v>-81.2453</v>
      </c>
      <c r="F110" s="5" t="s">
        <v>524</v>
      </c>
      <c r="G110" s="5" t="s">
        <v>1208</v>
      </c>
      <c r="H110" s="5" t="s">
        <v>1470</v>
      </c>
      <c r="I110" s="45" t="s">
        <v>1471</v>
      </c>
      <c r="J110" s="5" t="s">
        <v>1472</v>
      </c>
    </row>
    <row r="111" ht="14.25" customHeight="1">
      <c r="A111" s="4" t="s">
        <v>742</v>
      </c>
      <c r="B111" s="5" t="s">
        <v>714</v>
      </c>
      <c r="C111" s="5" t="s">
        <v>743</v>
      </c>
      <c r="D111" s="5">
        <v>42.9849</v>
      </c>
      <c r="E111" s="5">
        <v>-81.2497</v>
      </c>
      <c r="F111" s="4" t="s">
        <v>524</v>
      </c>
      <c r="G111" s="4" t="s">
        <v>1216</v>
      </c>
      <c r="H111" s="4" t="s">
        <v>744</v>
      </c>
      <c r="I111" s="46" t="s">
        <v>745</v>
      </c>
      <c r="J111" s="4" t="s">
        <v>744</v>
      </c>
    </row>
    <row r="112" ht="14.25" customHeight="1">
      <c r="A112" s="4" t="s">
        <v>748</v>
      </c>
      <c r="B112" s="5" t="s">
        <v>714</v>
      </c>
      <c r="C112" s="4" t="s">
        <v>749</v>
      </c>
      <c r="D112" s="4">
        <v>42.9898</v>
      </c>
      <c r="E112" s="4">
        <v>-81.22</v>
      </c>
      <c r="F112" s="4" t="s">
        <v>524</v>
      </c>
      <c r="G112" s="4" t="s">
        <v>1438</v>
      </c>
      <c r="H112" s="4" t="s">
        <v>750</v>
      </c>
      <c r="I112" s="46" t="s">
        <v>751</v>
      </c>
      <c r="J112" s="4" t="s">
        <v>750</v>
      </c>
    </row>
    <row r="113" ht="14.25" customHeight="1">
      <c r="A113" s="5" t="s">
        <v>755</v>
      </c>
      <c r="B113" s="5" t="s">
        <v>756</v>
      </c>
      <c r="C113" s="5" t="s">
        <v>757</v>
      </c>
      <c r="D113" s="5">
        <v>43.5929</v>
      </c>
      <c r="E113" s="5">
        <v>-79.6426</v>
      </c>
      <c r="F113" s="5" t="s">
        <v>524</v>
      </c>
      <c r="G113" s="5" t="s">
        <v>1387</v>
      </c>
      <c r="H113" s="5" t="s">
        <v>1473</v>
      </c>
      <c r="I113" s="45" t="s">
        <v>1474</v>
      </c>
      <c r="J113" s="5" t="s">
        <v>1390</v>
      </c>
    </row>
    <row r="114" ht="14.25" customHeight="1">
      <c r="A114" s="4" t="s">
        <v>1475</v>
      </c>
      <c r="B114" s="4" t="s">
        <v>756</v>
      </c>
      <c r="C114" s="4" t="s">
        <v>765</v>
      </c>
      <c r="D114" s="4">
        <v>43.6442</v>
      </c>
      <c r="E114" s="4">
        <v>-79.6973</v>
      </c>
      <c r="F114" s="4" t="s">
        <v>524</v>
      </c>
      <c r="G114" s="4" t="s">
        <v>1476</v>
      </c>
      <c r="H114" s="4" t="s">
        <v>766</v>
      </c>
      <c r="I114" s="45" t="s">
        <v>1477</v>
      </c>
      <c r="J114" s="4" t="s">
        <v>1478</v>
      </c>
    </row>
    <row r="115" ht="14.25" customHeight="1">
      <c r="A115" s="4" t="s">
        <v>1479</v>
      </c>
      <c r="B115" s="4" t="s">
        <v>756</v>
      </c>
      <c r="C115" s="5" t="s">
        <v>1480</v>
      </c>
      <c r="D115" s="5">
        <v>43.5325</v>
      </c>
      <c r="E115" s="5">
        <v>-79.6486</v>
      </c>
      <c r="F115" s="4" t="s">
        <v>524</v>
      </c>
      <c r="G115" s="4" t="s">
        <v>1481</v>
      </c>
      <c r="H115" s="4" t="s">
        <v>1482</v>
      </c>
      <c r="I115" s="45" t="s">
        <v>1483</v>
      </c>
      <c r="J115" s="4" t="s">
        <v>1484</v>
      </c>
    </row>
    <row r="116" ht="14.25" customHeight="1">
      <c r="A116" s="4" t="s">
        <v>777</v>
      </c>
      <c r="F116" s="4" t="s">
        <v>524</v>
      </c>
      <c r="G116" s="4" t="s">
        <v>1485</v>
      </c>
      <c r="H116" s="4" t="s">
        <v>780</v>
      </c>
      <c r="I116" s="45" t="s">
        <v>1486</v>
      </c>
      <c r="J116" s="4" t="s">
        <v>783</v>
      </c>
    </row>
    <row r="117" ht="14.25" customHeight="1">
      <c r="A117" s="5" t="s">
        <v>784</v>
      </c>
      <c r="B117" s="5" t="s">
        <v>785</v>
      </c>
      <c r="C117" s="5" t="s">
        <v>786</v>
      </c>
      <c r="D117" s="5">
        <v>43.1223</v>
      </c>
      <c r="E117" s="5">
        <v>-79.0617</v>
      </c>
      <c r="F117" s="5" t="s">
        <v>524</v>
      </c>
      <c r="G117" s="5" t="s">
        <v>1487</v>
      </c>
      <c r="H117" s="5" t="s">
        <v>787</v>
      </c>
      <c r="I117" s="45" t="s">
        <v>1488</v>
      </c>
    </row>
    <row r="118" ht="14.25" customHeight="1">
      <c r="A118" s="5" t="s">
        <v>793</v>
      </c>
      <c r="B118" s="5" t="s">
        <v>1489</v>
      </c>
      <c r="C118" s="5" t="s">
        <v>794</v>
      </c>
      <c r="D118" s="5">
        <v>43.5896</v>
      </c>
      <c r="E118" s="5">
        <v>-79.6443</v>
      </c>
      <c r="F118" s="5" t="s">
        <v>524</v>
      </c>
      <c r="G118" s="5" t="s">
        <v>1317</v>
      </c>
      <c r="H118" s="5" t="s">
        <v>1490</v>
      </c>
      <c r="I118" s="45" t="s">
        <v>1491</v>
      </c>
      <c r="J118" s="5" t="s">
        <v>1492</v>
      </c>
    </row>
    <row r="119" ht="14.25" customHeight="1">
      <c r="A119" s="34" t="s">
        <v>800</v>
      </c>
      <c r="B119" s="4" t="s">
        <v>801</v>
      </c>
      <c r="C119" s="4" t="s">
        <v>802</v>
      </c>
      <c r="D119" s="4">
        <v>42.9723</v>
      </c>
      <c r="E119" s="5">
        <v>-82.3445</v>
      </c>
      <c r="F119" s="4" t="s">
        <v>524</v>
      </c>
      <c r="G119" s="4" t="s">
        <v>1493</v>
      </c>
      <c r="H119" s="4" t="s">
        <v>803</v>
      </c>
      <c r="I119" s="45" t="s">
        <v>1494</v>
      </c>
      <c r="J119" s="4" t="s">
        <v>807</v>
      </c>
    </row>
    <row r="120" ht="14.25" customHeight="1">
      <c r="A120" s="5" t="s">
        <v>808</v>
      </c>
      <c r="B120" s="5" t="s">
        <v>809</v>
      </c>
      <c r="C120" s="5" t="s">
        <v>810</v>
      </c>
      <c r="D120" s="5">
        <v>43.11757</v>
      </c>
      <c r="E120" s="5">
        <v>-79.24769</v>
      </c>
      <c r="F120" s="5" t="s">
        <v>524</v>
      </c>
      <c r="G120" s="5" t="s">
        <v>1495</v>
      </c>
      <c r="H120" s="5" t="s">
        <v>811</v>
      </c>
      <c r="I120" s="45" t="s">
        <v>1496</v>
      </c>
      <c r="J120" s="5" t="s">
        <v>1497</v>
      </c>
    </row>
    <row r="121" ht="14.25" customHeight="1">
      <c r="A121" s="5" t="s">
        <v>815</v>
      </c>
      <c r="B121" s="5" t="s">
        <v>809</v>
      </c>
      <c r="C121" s="5" t="s">
        <v>816</v>
      </c>
      <c r="D121" s="5">
        <v>43.1593</v>
      </c>
      <c r="E121" s="5">
        <v>-79.2436</v>
      </c>
      <c r="F121" s="5" t="s">
        <v>524</v>
      </c>
      <c r="G121" s="5" t="s">
        <v>1498</v>
      </c>
      <c r="H121" s="5" t="s">
        <v>1499</v>
      </c>
      <c r="I121" s="45" t="s">
        <v>1500</v>
      </c>
      <c r="J121" s="5" t="s">
        <v>1501</v>
      </c>
    </row>
    <row r="122" ht="14.25" customHeight="1">
      <c r="A122" s="5" t="s">
        <v>821</v>
      </c>
      <c r="B122" s="5" t="s">
        <v>822</v>
      </c>
      <c r="C122" s="5" t="s">
        <v>823</v>
      </c>
      <c r="D122" s="5">
        <v>43.6593</v>
      </c>
      <c r="E122" s="5">
        <v>-79.3906</v>
      </c>
      <c r="F122" s="5" t="s">
        <v>524</v>
      </c>
      <c r="G122" s="5" t="s">
        <v>1502</v>
      </c>
      <c r="H122" s="5" t="s">
        <v>1503</v>
      </c>
      <c r="I122" s="45" t="s">
        <v>1504</v>
      </c>
      <c r="J122" s="5" t="s">
        <v>1505</v>
      </c>
    </row>
    <row r="123" ht="14.25" customHeight="1">
      <c r="A123" s="5" t="s">
        <v>829</v>
      </c>
      <c r="B123" s="5" t="s">
        <v>822</v>
      </c>
      <c r="C123" s="5" t="s">
        <v>830</v>
      </c>
      <c r="D123" s="5">
        <v>43.72928</v>
      </c>
      <c r="E123" s="5">
        <v>-79.606714</v>
      </c>
      <c r="F123" s="5" t="s">
        <v>524</v>
      </c>
      <c r="G123" s="5" t="s">
        <v>1506</v>
      </c>
      <c r="H123" s="5" t="s">
        <v>831</v>
      </c>
      <c r="I123" s="45" t="s">
        <v>1507</v>
      </c>
      <c r="J123" s="5" t="s">
        <v>1508</v>
      </c>
    </row>
    <row r="124" ht="14.25" customHeight="1">
      <c r="A124" s="5" t="s">
        <v>835</v>
      </c>
      <c r="B124" s="5" t="s">
        <v>822</v>
      </c>
      <c r="C124" s="5" t="s">
        <v>836</v>
      </c>
      <c r="D124" s="5">
        <v>43.6583</v>
      </c>
      <c r="E124" s="5">
        <v>-79.378</v>
      </c>
      <c r="F124" s="5" t="s">
        <v>524</v>
      </c>
      <c r="G124" s="5" t="s">
        <v>1509</v>
      </c>
      <c r="H124" s="5" t="s">
        <v>1510</v>
      </c>
      <c r="I124" s="45" t="s">
        <v>1511</v>
      </c>
      <c r="J124" s="5" t="s">
        <v>1512</v>
      </c>
    </row>
    <row r="125" ht="14.25" customHeight="1">
      <c r="A125" s="4" t="s">
        <v>842</v>
      </c>
      <c r="B125" s="5" t="s">
        <v>822</v>
      </c>
      <c r="C125" s="4" t="s">
        <v>843</v>
      </c>
      <c r="D125" s="4">
        <v>43.6353</v>
      </c>
      <c r="E125" s="5">
        <v>-79.4111</v>
      </c>
      <c r="F125" s="4" t="s">
        <v>524</v>
      </c>
      <c r="G125" s="4" t="s">
        <v>1513</v>
      </c>
      <c r="H125" s="4" t="s">
        <v>1514</v>
      </c>
      <c r="I125" s="46" t="s">
        <v>845</v>
      </c>
      <c r="J125" s="4" t="s">
        <v>1514</v>
      </c>
    </row>
    <row r="126" ht="14.25" customHeight="1">
      <c r="A126" s="4" t="s">
        <v>849</v>
      </c>
      <c r="B126" s="5" t="s">
        <v>822</v>
      </c>
      <c r="C126" s="4" t="s">
        <v>850</v>
      </c>
      <c r="D126" s="4">
        <v>43.6599</v>
      </c>
      <c r="E126" s="5">
        <v>-79.3886</v>
      </c>
      <c r="F126" s="4" t="s">
        <v>524</v>
      </c>
      <c r="G126" s="4" t="s">
        <v>1515</v>
      </c>
      <c r="H126" s="4" t="s">
        <v>1516</v>
      </c>
      <c r="I126" s="46" t="s">
        <v>1517</v>
      </c>
      <c r="J126" s="4" t="s">
        <v>1518</v>
      </c>
    </row>
    <row r="127" ht="14.25" customHeight="1">
      <c r="A127" s="4" t="s">
        <v>1519</v>
      </c>
      <c r="B127" s="4" t="s">
        <v>822</v>
      </c>
      <c r="C127" s="4" t="s">
        <v>342</v>
      </c>
      <c r="D127" s="4">
        <v>42.7333</v>
      </c>
      <c r="E127" s="5">
        <v>-84.5518</v>
      </c>
      <c r="F127" s="4" t="s">
        <v>524</v>
      </c>
      <c r="G127" s="4" t="s">
        <v>1515</v>
      </c>
      <c r="H127" s="4" t="s">
        <v>857</v>
      </c>
      <c r="I127" s="45" t="s">
        <v>1520</v>
      </c>
      <c r="J127" s="4" t="s">
        <v>859</v>
      </c>
    </row>
    <row r="128" ht="14.25" customHeight="1">
      <c r="A128" s="4" t="s">
        <v>860</v>
      </c>
      <c r="B128" s="5" t="s">
        <v>822</v>
      </c>
      <c r="C128" s="4" t="s">
        <v>861</v>
      </c>
      <c r="D128" s="4">
        <v>43.6479</v>
      </c>
      <c r="E128" s="5">
        <v>-79.3925</v>
      </c>
      <c r="F128" s="4" t="s">
        <v>524</v>
      </c>
      <c r="G128" s="4" t="s">
        <v>1487</v>
      </c>
      <c r="H128" s="4" t="s">
        <v>862</v>
      </c>
      <c r="I128" s="46" t="s">
        <v>863</v>
      </c>
      <c r="J128" s="4" t="s">
        <v>862</v>
      </c>
    </row>
    <row r="129" ht="14.25" customHeight="1">
      <c r="A129" s="4" t="s">
        <v>866</v>
      </c>
      <c r="B129" s="5" t="s">
        <v>822</v>
      </c>
      <c r="C129" s="4" t="s">
        <v>867</v>
      </c>
      <c r="D129" s="4">
        <v>43.671</v>
      </c>
      <c r="E129" s="4">
        <v>-79.383</v>
      </c>
      <c r="F129" s="4" t="s">
        <v>524</v>
      </c>
      <c r="G129" s="4" t="s">
        <v>1521</v>
      </c>
      <c r="H129" s="4" t="s">
        <v>868</v>
      </c>
      <c r="I129" s="46" t="s">
        <v>869</v>
      </c>
    </row>
    <row r="130" ht="14.25" customHeight="1">
      <c r="A130" s="4" t="s">
        <v>872</v>
      </c>
      <c r="B130" s="5" t="s">
        <v>822</v>
      </c>
      <c r="C130" s="5" t="s">
        <v>873</v>
      </c>
      <c r="D130" s="5">
        <v>43.64678</v>
      </c>
      <c r="E130" s="5">
        <v>-79.38822</v>
      </c>
      <c r="F130" s="4" t="s">
        <v>524</v>
      </c>
      <c r="G130" s="4" t="s">
        <v>1522</v>
      </c>
      <c r="H130" s="4" t="s">
        <v>1523</v>
      </c>
      <c r="I130" s="46" t="s">
        <v>1524</v>
      </c>
      <c r="J130" s="4" t="s">
        <v>1525</v>
      </c>
    </row>
    <row r="131" ht="14.25" customHeight="1">
      <c r="A131" s="5" t="s">
        <v>1526</v>
      </c>
      <c r="B131" s="5" t="s">
        <v>822</v>
      </c>
      <c r="C131" s="5" t="s">
        <v>1527</v>
      </c>
      <c r="D131" s="5">
        <v>43.6433</v>
      </c>
      <c r="E131" s="5">
        <v>-79.3901</v>
      </c>
      <c r="F131" s="5" t="s">
        <v>524</v>
      </c>
      <c r="G131" s="5" t="s">
        <v>1208</v>
      </c>
      <c r="H131" s="5" t="s">
        <v>1297</v>
      </c>
      <c r="I131" s="47" t="s">
        <v>1528</v>
      </c>
      <c r="J131" s="5" t="s">
        <v>1529</v>
      </c>
    </row>
    <row r="132" ht="14.25" customHeight="1">
      <c r="A132" s="4" t="s">
        <v>887</v>
      </c>
      <c r="B132" s="5" t="s">
        <v>822</v>
      </c>
      <c r="C132" s="5" t="s">
        <v>539</v>
      </c>
      <c r="D132" s="5">
        <v>43.6574</v>
      </c>
      <c r="E132" s="5">
        <v>-79.3802</v>
      </c>
      <c r="F132" s="4" t="s">
        <v>524</v>
      </c>
      <c r="G132" s="4" t="s">
        <v>1530</v>
      </c>
      <c r="H132" s="4" t="s">
        <v>1531</v>
      </c>
      <c r="I132" s="46" t="s">
        <v>890</v>
      </c>
      <c r="J132" s="4" t="s">
        <v>1532</v>
      </c>
    </row>
    <row r="133" ht="14.25" customHeight="1">
      <c r="A133" s="5" t="s">
        <v>894</v>
      </c>
      <c r="B133" s="5" t="s">
        <v>822</v>
      </c>
      <c r="C133" s="5" t="s">
        <v>895</v>
      </c>
      <c r="D133" s="5">
        <v>43.651</v>
      </c>
      <c r="E133" s="5">
        <v>-79.3809</v>
      </c>
      <c r="F133" s="5" t="s">
        <v>524</v>
      </c>
      <c r="G133" s="5" t="s">
        <v>600</v>
      </c>
      <c r="H133" s="5" t="s">
        <v>1533</v>
      </c>
      <c r="I133" s="47" t="s">
        <v>1534</v>
      </c>
      <c r="J133" s="5" t="s">
        <v>1271</v>
      </c>
    </row>
    <row r="134" ht="14.25" customHeight="1">
      <c r="A134" s="4" t="s">
        <v>900</v>
      </c>
      <c r="B134" s="5" t="s">
        <v>822</v>
      </c>
      <c r="C134" s="5" t="s">
        <v>901</v>
      </c>
      <c r="D134" s="5">
        <v>43.7735</v>
      </c>
      <c r="E134" s="5">
        <v>-79.5019</v>
      </c>
      <c r="F134" s="4" t="s">
        <v>524</v>
      </c>
      <c r="G134" s="4" t="s">
        <v>1535</v>
      </c>
      <c r="H134" s="4" t="s">
        <v>902</v>
      </c>
      <c r="I134" s="45" t="s">
        <v>1536</v>
      </c>
      <c r="J134" s="4" t="s">
        <v>1537</v>
      </c>
    </row>
    <row r="135" ht="14.25" customHeight="1">
      <c r="A135" s="4" t="s">
        <v>908</v>
      </c>
      <c r="B135" s="4" t="s">
        <v>822</v>
      </c>
      <c r="C135" s="5" t="s">
        <v>909</v>
      </c>
      <c r="D135" s="5">
        <v>43.6632</v>
      </c>
      <c r="E135" s="5">
        <v>-79.4108</v>
      </c>
      <c r="F135" s="4" t="s">
        <v>524</v>
      </c>
      <c r="G135" s="4" t="s">
        <v>1509</v>
      </c>
      <c r="H135" s="4" t="s">
        <v>1538</v>
      </c>
      <c r="I135" s="45" t="s">
        <v>1539</v>
      </c>
      <c r="J135" s="4" t="s">
        <v>1540</v>
      </c>
    </row>
    <row r="136" ht="14.25" customHeight="1">
      <c r="A136" s="4" t="s">
        <v>915</v>
      </c>
      <c r="B136" s="5" t="s">
        <v>822</v>
      </c>
      <c r="C136" s="4" t="s">
        <v>916</v>
      </c>
      <c r="D136" s="4">
        <v>43.6653</v>
      </c>
      <c r="E136" s="4">
        <v>-79.3983</v>
      </c>
      <c r="F136" s="4" t="s">
        <v>524</v>
      </c>
      <c r="G136" s="4" t="s">
        <v>1432</v>
      </c>
      <c r="H136" s="4" t="s">
        <v>1541</v>
      </c>
      <c r="I136" s="46" t="s">
        <v>918</v>
      </c>
    </row>
    <row r="137" ht="14.25" customHeight="1">
      <c r="A137" s="4" t="s">
        <v>922</v>
      </c>
      <c r="B137" s="5" t="s">
        <v>822</v>
      </c>
      <c r="C137" s="41" t="s">
        <v>924</v>
      </c>
      <c r="D137" s="41">
        <v>43.7729</v>
      </c>
      <c r="E137" s="41">
        <v>-79.2572</v>
      </c>
      <c r="F137" s="4" t="s">
        <v>524</v>
      </c>
      <c r="G137" s="4" t="s">
        <v>1438</v>
      </c>
      <c r="H137" s="4" t="s">
        <v>925</v>
      </c>
      <c r="I137" s="46" t="s">
        <v>926</v>
      </c>
      <c r="J137" s="4" t="s">
        <v>925</v>
      </c>
    </row>
    <row r="138" ht="14.25" customHeight="1">
      <c r="A138" s="4" t="s">
        <v>928</v>
      </c>
      <c r="B138" s="5" t="s">
        <v>822</v>
      </c>
      <c r="C138" s="41" t="s">
        <v>929</v>
      </c>
      <c r="D138" s="41">
        <v>43.6554</v>
      </c>
      <c r="E138" s="4">
        <v>-79.3864</v>
      </c>
      <c r="F138" s="4" t="s">
        <v>524</v>
      </c>
      <c r="G138" s="4" t="s">
        <v>1542</v>
      </c>
      <c r="H138" s="4" t="s">
        <v>1543</v>
      </c>
      <c r="I138" s="45" t="s">
        <v>1544</v>
      </c>
      <c r="J138" s="4" t="s">
        <v>1545</v>
      </c>
    </row>
    <row r="139" ht="14.25" customHeight="1">
      <c r="A139" s="4" t="s">
        <v>936</v>
      </c>
      <c r="B139" s="4" t="s">
        <v>778</v>
      </c>
      <c r="C139" s="5" t="s">
        <v>937</v>
      </c>
      <c r="D139" s="5">
        <v>43.65024</v>
      </c>
      <c r="E139" s="5">
        <v>-79.36388</v>
      </c>
      <c r="F139" s="4" t="s">
        <v>524</v>
      </c>
      <c r="G139" s="4" t="s">
        <v>1383</v>
      </c>
      <c r="H139" s="4" t="s">
        <v>938</v>
      </c>
      <c r="I139" s="45" t="s">
        <v>1546</v>
      </c>
      <c r="J139" s="4" t="s">
        <v>942</v>
      </c>
    </row>
    <row r="140" ht="14.25" customHeight="1">
      <c r="A140" s="4" t="s">
        <v>943</v>
      </c>
      <c r="B140" s="4" t="s">
        <v>944</v>
      </c>
      <c r="C140" s="5" t="s">
        <v>945</v>
      </c>
      <c r="D140" s="5">
        <v>43.1667</v>
      </c>
      <c r="E140" s="5">
        <v>-79.4033</v>
      </c>
      <c r="F140" s="4" t="s">
        <v>524</v>
      </c>
      <c r="G140" s="4" t="s">
        <v>1461</v>
      </c>
      <c r="H140" s="4" t="s">
        <v>946</v>
      </c>
      <c r="I140" s="45" t="s">
        <v>1547</v>
      </c>
      <c r="J140" s="4" t="s">
        <v>1548</v>
      </c>
    </row>
    <row r="141" ht="14.25" customHeight="1">
      <c r="A141" s="5" t="s">
        <v>1549</v>
      </c>
      <c r="B141" s="5" t="s">
        <v>952</v>
      </c>
      <c r="C141" s="5" t="s">
        <v>953</v>
      </c>
      <c r="D141" s="5">
        <v>43.46896</v>
      </c>
      <c r="E141" s="5">
        <v>-80.53926</v>
      </c>
      <c r="F141" s="4" t="s">
        <v>524</v>
      </c>
      <c r="G141" s="5" t="s">
        <v>1196</v>
      </c>
      <c r="H141" s="5" t="s">
        <v>954</v>
      </c>
      <c r="I141" s="45" t="s">
        <v>1550</v>
      </c>
    </row>
    <row r="142" ht="14.25" customHeight="1">
      <c r="A142" s="5" t="s">
        <v>1551</v>
      </c>
      <c r="B142" s="5" t="s">
        <v>952</v>
      </c>
      <c r="C142" s="5" t="s">
        <v>953</v>
      </c>
      <c r="D142" s="5">
        <v>43.46896</v>
      </c>
      <c r="E142" s="5">
        <v>-80.53926</v>
      </c>
      <c r="F142" s="4" t="s">
        <v>524</v>
      </c>
      <c r="G142" s="5" t="s">
        <v>1196</v>
      </c>
      <c r="H142" s="5" t="s">
        <v>959</v>
      </c>
      <c r="I142" s="45" t="s">
        <v>1552</v>
      </c>
    </row>
    <row r="143" ht="14.25" customHeight="1">
      <c r="A143" s="5" t="s">
        <v>964</v>
      </c>
      <c r="B143" s="5" t="s">
        <v>952</v>
      </c>
      <c r="C143" s="5" t="s">
        <v>953</v>
      </c>
      <c r="D143" s="5">
        <v>43.46896</v>
      </c>
      <c r="E143" s="5">
        <v>-80.53926</v>
      </c>
      <c r="F143" s="4" t="s">
        <v>524</v>
      </c>
      <c r="G143" s="5" t="s">
        <v>1196</v>
      </c>
      <c r="H143" s="5" t="s">
        <v>965</v>
      </c>
      <c r="I143" s="47" t="s">
        <v>1553</v>
      </c>
      <c r="J143" s="5" t="s">
        <v>1554</v>
      </c>
    </row>
    <row r="144" ht="14.25" customHeight="1">
      <c r="A144" s="5" t="s">
        <v>970</v>
      </c>
      <c r="B144" s="5" t="s">
        <v>952</v>
      </c>
      <c r="C144" s="5" t="s">
        <v>953</v>
      </c>
      <c r="D144" s="5">
        <v>43.46896</v>
      </c>
      <c r="E144" s="5">
        <v>-80.53926</v>
      </c>
      <c r="F144" s="4" t="s">
        <v>524</v>
      </c>
      <c r="G144" s="5" t="s">
        <v>1196</v>
      </c>
      <c r="H144" s="5" t="s">
        <v>971</v>
      </c>
      <c r="I144" s="47" t="s">
        <v>1555</v>
      </c>
      <c r="J144" s="5" t="s">
        <v>1556</v>
      </c>
    </row>
    <row r="145" ht="14.25" customHeight="1">
      <c r="A145" s="5" t="s">
        <v>977</v>
      </c>
      <c r="B145" s="5" t="s">
        <v>952</v>
      </c>
      <c r="C145" s="5" t="s">
        <v>953</v>
      </c>
      <c r="D145" s="5">
        <v>43.46896</v>
      </c>
      <c r="E145" s="5">
        <v>-80.53926</v>
      </c>
      <c r="F145" s="4" t="s">
        <v>524</v>
      </c>
      <c r="G145" s="5" t="s">
        <v>1196</v>
      </c>
      <c r="H145" s="5" t="s">
        <v>978</v>
      </c>
      <c r="I145" s="47" t="s">
        <v>1557</v>
      </c>
      <c r="J145" s="5" t="s">
        <v>1558</v>
      </c>
    </row>
    <row r="146" ht="14.25" customHeight="1">
      <c r="A146" s="5" t="s">
        <v>1559</v>
      </c>
      <c r="B146" s="5" t="s">
        <v>952</v>
      </c>
      <c r="C146" s="5" t="s">
        <v>953</v>
      </c>
      <c r="D146" s="5">
        <v>43.46896</v>
      </c>
      <c r="E146" s="5">
        <v>-80.53926</v>
      </c>
      <c r="F146" s="5" t="s">
        <v>524</v>
      </c>
      <c r="G146" s="5" t="s">
        <v>1221</v>
      </c>
      <c r="H146" s="5" t="s">
        <v>1560</v>
      </c>
      <c r="I146" s="45" t="s">
        <v>1550</v>
      </c>
      <c r="J146" s="5" t="s">
        <v>1561</v>
      </c>
    </row>
    <row r="147" ht="14.25" customHeight="1">
      <c r="A147" s="5" t="s">
        <v>982</v>
      </c>
      <c r="B147" s="5" t="s">
        <v>952</v>
      </c>
      <c r="C147" s="5" t="s">
        <v>983</v>
      </c>
      <c r="D147" s="5">
        <v>43.477384</v>
      </c>
      <c r="E147" s="5">
        <v>-80.549063</v>
      </c>
      <c r="F147" s="5" t="s">
        <v>524</v>
      </c>
      <c r="G147" s="5" t="s">
        <v>1221</v>
      </c>
      <c r="H147" s="5" t="s">
        <v>984</v>
      </c>
      <c r="I147" s="47" t="s">
        <v>1562</v>
      </c>
      <c r="J147" s="5" t="s">
        <v>1563</v>
      </c>
    </row>
    <row r="148" ht="14.25" customHeight="1">
      <c r="A148" s="5" t="s">
        <v>989</v>
      </c>
      <c r="B148" s="5" t="s">
        <v>952</v>
      </c>
      <c r="C148" s="5" t="s">
        <v>990</v>
      </c>
      <c r="D148" s="5">
        <v>43.4654</v>
      </c>
      <c r="E148" s="5">
        <v>-80.528</v>
      </c>
      <c r="F148" s="5" t="s">
        <v>524</v>
      </c>
      <c r="G148" s="5" t="s">
        <v>1221</v>
      </c>
      <c r="H148" s="5" t="s">
        <v>991</v>
      </c>
      <c r="I148" s="47" t="s">
        <v>1564</v>
      </c>
      <c r="J148" s="5" t="s">
        <v>1565</v>
      </c>
    </row>
    <row r="149" ht="14.25" customHeight="1">
      <c r="A149" s="5" t="s">
        <v>995</v>
      </c>
      <c r="B149" s="5" t="s">
        <v>952</v>
      </c>
      <c r="C149" s="5" t="s">
        <v>1566</v>
      </c>
      <c r="D149" s="5">
        <v>43.4823</v>
      </c>
      <c r="E149" s="5">
        <v>-80.5456</v>
      </c>
      <c r="F149" s="4" t="s">
        <v>524</v>
      </c>
      <c r="G149" s="5" t="s">
        <v>1196</v>
      </c>
      <c r="H149" s="5" t="s">
        <v>997</v>
      </c>
      <c r="I149" s="45" t="s">
        <v>1567</v>
      </c>
    </row>
    <row r="150" ht="14.25" customHeight="1">
      <c r="A150" s="5" t="s">
        <v>1003</v>
      </c>
      <c r="B150" s="5" t="s">
        <v>952</v>
      </c>
      <c r="C150" s="5" t="s">
        <v>1004</v>
      </c>
      <c r="D150" s="5">
        <v>43.4784</v>
      </c>
      <c r="E150" s="5">
        <v>-80.5556</v>
      </c>
      <c r="F150" s="5" t="s">
        <v>524</v>
      </c>
      <c r="G150" s="5" t="s">
        <v>1221</v>
      </c>
      <c r="H150" s="5" t="s">
        <v>1005</v>
      </c>
      <c r="I150" s="45" t="s">
        <v>1568</v>
      </c>
      <c r="J150" s="5" t="s">
        <v>1569</v>
      </c>
    </row>
    <row r="151" ht="14.25" customHeight="1">
      <c r="A151" s="4" t="s">
        <v>1010</v>
      </c>
      <c r="B151" s="5" t="s">
        <v>1011</v>
      </c>
      <c r="C151" s="5" t="s">
        <v>1012</v>
      </c>
      <c r="D151" s="5">
        <v>42.3178</v>
      </c>
      <c r="E151" s="5">
        <v>-83.0405</v>
      </c>
      <c r="F151" s="4" t="s">
        <v>524</v>
      </c>
      <c r="G151" s="4" t="s">
        <v>1216</v>
      </c>
      <c r="H151" s="4" t="s">
        <v>1013</v>
      </c>
      <c r="I151" s="46" t="s">
        <v>1014</v>
      </c>
      <c r="J151" s="4" t="s">
        <v>1013</v>
      </c>
    </row>
    <row r="152" ht="14.25" customHeight="1">
      <c r="A152" s="4" t="s">
        <v>1018</v>
      </c>
      <c r="B152" s="5" t="s">
        <v>1011</v>
      </c>
      <c r="C152" s="5" t="s">
        <v>1012</v>
      </c>
      <c r="D152" s="5">
        <v>42.3178</v>
      </c>
      <c r="E152" s="5">
        <v>-83.0405</v>
      </c>
      <c r="F152" s="4" t="s">
        <v>524</v>
      </c>
      <c r="G152" s="4" t="s">
        <v>1438</v>
      </c>
      <c r="H152" s="4" t="s">
        <v>1019</v>
      </c>
      <c r="I152" s="46" t="s">
        <v>1020</v>
      </c>
      <c r="J152" s="4" t="s">
        <v>1019</v>
      </c>
    </row>
    <row r="153" ht="14.25" customHeight="1">
      <c r="A153" s="5" t="s">
        <v>1024</v>
      </c>
      <c r="B153" s="5" t="s">
        <v>1011</v>
      </c>
      <c r="C153" s="5" t="s">
        <v>1025</v>
      </c>
      <c r="D153" s="5">
        <v>42.2539</v>
      </c>
      <c r="E153" s="5">
        <v>-83.0307</v>
      </c>
      <c r="F153" s="4" t="s">
        <v>524</v>
      </c>
      <c r="G153" s="5" t="s">
        <v>1196</v>
      </c>
      <c r="H153" s="5" t="s">
        <v>1026</v>
      </c>
      <c r="I153" s="45" t="s">
        <v>1570</v>
      </c>
    </row>
    <row r="154" ht="14.25" customHeight="1">
      <c r="A154" s="5" t="s">
        <v>1571</v>
      </c>
      <c r="B154" s="5" t="s">
        <v>1011</v>
      </c>
      <c r="C154" s="5" t="s">
        <v>1033</v>
      </c>
      <c r="D154" s="5">
        <v>42.305</v>
      </c>
      <c r="E154" s="5">
        <v>-83.066</v>
      </c>
      <c r="F154" s="5" t="s">
        <v>524</v>
      </c>
      <c r="G154" s="5" t="s">
        <v>1208</v>
      </c>
      <c r="H154" s="5" t="s">
        <v>1034</v>
      </c>
      <c r="I154" s="47" t="s">
        <v>1572</v>
      </c>
      <c r="J154" s="5" t="s">
        <v>1573</v>
      </c>
    </row>
    <row r="155" ht="14.25" customHeight="1">
      <c r="A155" s="5" t="s">
        <v>1038</v>
      </c>
      <c r="B155" s="5" t="s">
        <v>1011</v>
      </c>
      <c r="C155" s="5" t="s">
        <v>1574</v>
      </c>
      <c r="D155" s="5">
        <v>42.305</v>
      </c>
      <c r="E155" s="5">
        <v>-83.066</v>
      </c>
      <c r="F155" s="4" t="s">
        <v>524</v>
      </c>
      <c r="G155" s="5" t="s">
        <v>1221</v>
      </c>
      <c r="H155" s="5" t="s">
        <v>1040</v>
      </c>
      <c r="I155" s="47" t="s">
        <v>1575</v>
      </c>
      <c r="J155" s="5" t="s">
        <v>1576</v>
      </c>
    </row>
    <row r="156" ht="14.25" customHeight="1">
      <c r="A156" s="5" t="s">
        <v>1577</v>
      </c>
      <c r="B156" s="5" t="s">
        <v>1011</v>
      </c>
      <c r="C156" s="5" t="s">
        <v>1047</v>
      </c>
      <c r="D156" s="5">
        <v>42.28499</v>
      </c>
      <c r="E156" s="5">
        <v>-83.01847</v>
      </c>
      <c r="F156" s="5" t="s">
        <v>524</v>
      </c>
      <c r="G156" s="5" t="s">
        <v>1208</v>
      </c>
      <c r="H156" s="5" t="s">
        <v>1048</v>
      </c>
      <c r="I156" s="47" t="s">
        <v>1578</v>
      </c>
      <c r="J156" s="5" t="s">
        <v>1579</v>
      </c>
    </row>
    <row r="157" ht="14.25" customHeight="1">
      <c r="A157" s="5" t="s">
        <v>1054</v>
      </c>
      <c r="B157" s="5" t="s">
        <v>1011</v>
      </c>
      <c r="C157" s="5" t="s">
        <v>1055</v>
      </c>
      <c r="D157" s="5">
        <v>42.3173</v>
      </c>
      <c r="E157" s="5">
        <v>-83.0386</v>
      </c>
      <c r="F157" s="5" t="s">
        <v>524</v>
      </c>
      <c r="G157" s="5" t="s">
        <v>1277</v>
      </c>
      <c r="H157" s="5" t="s">
        <v>1056</v>
      </c>
      <c r="I157" s="45" t="s">
        <v>1580</v>
      </c>
      <c r="J157" s="5" t="s">
        <v>1581</v>
      </c>
    </row>
    <row r="158" ht="14.25" customHeight="1">
      <c r="A158" s="5" t="s">
        <v>1061</v>
      </c>
      <c r="B158" s="5" t="s">
        <v>1011</v>
      </c>
      <c r="C158" s="5" t="s">
        <v>1062</v>
      </c>
      <c r="D158" s="5">
        <v>42.3036</v>
      </c>
      <c r="E158" s="5">
        <v>-82.9317</v>
      </c>
      <c r="F158" s="4" t="s">
        <v>524</v>
      </c>
      <c r="G158" s="5" t="s">
        <v>1582</v>
      </c>
      <c r="H158" s="5" t="s">
        <v>1311</v>
      </c>
      <c r="I158" s="47" t="s">
        <v>1583</v>
      </c>
      <c r="J158" s="5" t="s">
        <v>1311</v>
      </c>
    </row>
    <row r="159" ht="14.25" customHeight="1">
      <c r="A159" s="5" t="s">
        <v>1069</v>
      </c>
      <c r="B159" s="5" t="s">
        <v>1011</v>
      </c>
      <c r="C159" s="5" t="s">
        <v>1070</v>
      </c>
      <c r="D159" s="5">
        <v>42.2938</v>
      </c>
      <c r="E159" s="5">
        <v>-82.9502</v>
      </c>
      <c r="F159" s="5" t="s">
        <v>524</v>
      </c>
      <c r="G159" s="5" t="s">
        <v>1208</v>
      </c>
      <c r="H159" s="5" t="s">
        <v>1584</v>
      </c>
      <c r="I159" s="47" t="s">
        <v>1585</v>
      </c>
      <c r="J159" s="5" t="s">
        <v>1586</v>
      </c>
    </row>
    <row r="160" ht="14.25" customHeight="1">
      <c r="A160" s="5" t="s">
        <v>1076</v>
      </c>
      <c r="B160" s="5" t="s">
        <v>1011</v>
      </c>
      <c r="C160" s="5" t="s">
        <v>1070</v>
      </c>
      <c r="D160" s="5">
        <v>42.2938</v>
      </c>
      <c r="E160" s="5">
        <v>-82.9502</v>
      </c>
      <c r="F160" s="5" t="s">
        <v>524</v>
      </c>
      <c r="G160" s="5" t="s">
        <v>1208</v>
      </c>
      <c r="H160" s="5" t="s">
        <v>1077</v>
      </c>
      <c r="I160" s="47" t="s">
        <v>1587</v>
      </c>
      <c r="J160" s="5" t="s">
        <v>1588</v>
      </c>
    </row>
    <row r="161" ht="14.25" customHeight="1">
      <c r="A161" s="5" t="s">
        <v>1082</v>
      </c>
      <c r="B161" s="5" t="s">
        <v>1011</v>
      </c>
      <c r="C161" s="5" t="s">
        <v>1083</v>
      </c>
      <c r="D161" s="5">
        <v>42.3063</v>
      </c>
      <c r="E161" s="5">
        <v>-83.0659</v>
      </c>
      <c r="F161" s="4" t="s">
        <v>524</v>
      </c>
      <c r="G161" s="5" t="s">
        <v>1196</v>
      </c>
      <c r="H161" s="5" t="s">
        <v>1084</v>
      </c>
      <c r="I161" s="45" t="s">
        <v>1589</v>
      </c>
      <c r="J161" s="5" t="s">
        <v>1590</v>
      </c>
    </row>
    <row r="162" ht="14.25" customHeight="1">
      <c r="A162" s="5" t="s">
        <v>1591</v>
      </c>
      <c r="B162" s="5" t="s">
        <v>1011</v>
      </c>
      <c r="C162" s="5" t="s">
        <v>1083</v>
      </c>
      <c r="D162" s="5">
        <v>42.3063</v>
      </c>
      <c r="E162" s="5">
        <v>-83.0659</v>
      </c>
      <c r="F162" s="4" t="s">
        <v>524</v>
      </c>
      <c r="G162" s="5" t="s">
        <v>1196</v>
      </c>
      <c r="H162" s="5" t="s">
        <v>1092</v>
      </c>
      <c r="I162" s="45" t="s">
        <v>1592</v>
      </c>
      <c r="J162" s="5" t="s">
        <v>1593</v>
      </c>
    </row>
    <row r="163" ht="14.25" customHeight="1">
      <c r="A163" s="5" t="s">
        <v>1594</v>
      </c>
      <c r="B163" s="5" t="s">
        <v>1011</v>
      </c>
      <c r="C163" s="5" t="s">
        <v>1083</v>
      </c>
      <c r="D163" s="5">
        <v>42.3063</v>
      </c>
      <c r="E163" s="5">
        <v>-83.0659</v>
      </c>
      <c r="F163" s="4" t="s">
        <v>524</v>
      </c>
      <c r="G163" s="5" t="s">
        <v>1196</v>
      </c>
      <c r="H163" s="5" t="s">
        <v>1595</v>
      </c>
      <c r="I163" s="47" t="s">
        <v>1596</v>
      </c>
      <c r="J163" s="5" t="s">
        <v>1597</v>
      </c>
    </row>
    <row r="164" ht="14.25" customHeight="1">
      <c r="A164" s="5" t="s">
        <v>1098</v>
      </c>
      <c r="B164" s="5" t="s">
        <v>1011</v>
      </c>
      <c r="C164" s="5" t="s">
        <v>1083</v>
      </c>
      <c r="D164" s="5">
        <v>42.3063</v>
      </c>
      <c r="E164" s="5">
        <v>-83.0659</v>
      </c>
      <c r="F164" s="4" t="s">
        <v>524</v>
      </c>
      <c r="G164" s="5" t="s">
        <v>1196</v>
      </c>
      <c r="H164" s="5" t="s">
        <v>1100</v>
      </c>
      <c r="I164" s="45" t="s">
        <v>1598</v>
      </c>
      <c r="J164" s="5" t="s">
        <v>1599</v>
      </c>
    </row>
    <row r="165" ht="14.25" customHeight="1">
      <c r="A165" s="34" t="s">
        <v>1106</v>
      </c>
      <c r="B165" s="4" t="s">
        <v>1011</v>
      </c>
      <c r="C165" s="4" t="s">
        <v>1107</v>
      </c>
      <c r="D165" s="4">
        <v>42.3179</v>
      </c>
      <c r="E165" s="4">
        <v>-83.0386</v>
      </c>
      <c r="F165" s="4" t="s">
        <v>524</v>
      </c>
      <c r="G165" s="4" t="s">
        <v>1600</v>
      </c>
      <c r="H165" s="4" t="s">
        <v>1108</v>
      </c>
      <c r="I165" s="45" t="s">
        <v>1601</v>
      </c>
      <c r="J165" s="4" t="s">
        <v>1111</v>
      </c>
    </row>
    <row r="166" ht="14.25" customHeight="1">
      <c r="A166" s="5" t="s">
        <v>1112</v>
      </c>
      <c r="B166" s="5" t="s">
        <v>1011</v>
      </c>
      <c r="F166" s="4" t="s">
        <v>524</v>
      </c>
      <c r="G166" s="5" t="s">
        <v>600</v>
      </c>
      <c r="H166" s="5" t="s">
        <v>1114</v>
      </c>
      <c r="I166" s="47" t="s">
        <v>1602</v>
      </c>
      <c r="J166" s="5" t="s">
        <v>1229</v>
      </c>
    </row>
    <row r="167" ht="14.25" customHeight="1">
      <c r="A167" s="5" t="s">
        <v>1120</v>
      </c>
      <c r="B167" s="5"/>
      <c r="C167" s="5"/>
      <c r="F167" s="4" t="s">
        <v>524</v>
      </c>
      <c r="G167" s="5" t="s">
        <v>1212</v>
      </c>
      <c r="H167" s="5" t="s">
        <v>1122</v>
      </c>
      <c r="I167" s="47" t="s">
        <v>1603</v>
      </c>
      <c r="J167" s="5" t="s">
        <v>1604</v>
      </c>
    </row>
    <row r="168" ht="14.25" customHeight="1">
      <c r="A168" s="4" t="s">
        <v>1605</v>
      </c>
      <c r="F168" s="4" t="s">
        <v>524</v>
      </c>
      <c r="G168" s="4" t="s">
        <v>1606</v>
      </c>
      <c r="H168" s="4" t="s">
        <v>1607</v>
      </c>
      <c r="I168" s="45" t="s">
        <v>1608</v>
      </c>
      <c r="J168" s="4" t="s">
        <v>1607</v>
      </c>
    </row>
    <row r="169" ht="14.25" customHeight="1">
      <c r="A169" s="4" t="s">
        <v>1127</v>
      </c>
      <c r="B169" s="4" t="s">
        <v>778</v>
      </c>
      <c r="C169" s="4" t="s">
        <v>1128</v>
      </c>
      <c r="D169" s="4">
        <v>43.65906</v>
      </c>
      <c r="E169" s="4">
        <v>-79.38921</v>
      </c>
      <c r="F169" s="4" t="s">
        <v>524</v>
      </c>
      <c r="G169" s="4" t="s">
        <v>1609</v>
      </c>
      <c r="H169" s="4" t="s">
        <v>1129</v>
      </c>
      <c r="I169" s="45" t="s">
        <v>1610</v>
      </c>
      <c r="J169" s="4" t="s">
        <v>1133</v>
      </c>
    </row>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c r="C183" s="5"/>
      <c r="D183" s="5"/>
      <c r="E183" s="5"/>
      <c r="F183" s="5"/>
    </row>
    <row r="184" ht="14.25" customHeight="1">
      <c r="C184" s="5"/>
      <c r="D184" s="5"/>
      <c r="E184" s="5"/>
      <c r="F184" s="5"/>
    </row>
    <row r="185" ht="14.25" customHeight="1">
      <c r="C185" s="5"/>
      <c r="D185" s="5"/>
      <c r="E185" s="5"/>
      <c r="F185" s="5"/>
    </row>
    <row r="186" ht="14.25" customHeight="1">
      <c r="C186" s="5"/>
      <c r="D186" s="5"/>
      <c r="E186" s="5"/>
      <c r="F186" s="5"/>
    </row>
    <row r="187" ht="14.25" customHeight="1">
      <c r="C187" s="5"/>
      <c r="D187" s="5"/>
      <c r="E187" s="5"/>
      <c r="F187" s="5"/>
    </row>
    <row r="188" ht="14.25" customHeight="1">
      <c r="C188" s="5"/>
      <c r="D188" s="5"/>
      <c r="E188" s="5"/>
      <c r="F188" s="5"/>
    </row>
    <row r="189" ht="14.25" customHeight="1">
      <c r="C189" s="5"/>
      <c r="D189" s="5"/>
      <c r="E189" s="5"/>
      <c r="F189" s="5"/>
    </row>
    <row r="190" ht="14.25" customHeight="1"/>
    <row r="191" ht="14.25" customHeight="1">
      <c r="G191" s="5"/>
      <c r="H191" s="5"/>
    </row>
    <row r="192" ht="14.25" customHeight="1">
      <c r="G192" s="5"/>
      <c r="H192" s="5"/>
    </row>
    <row r="193" ht="14.25" customHeight="1">
      <c r="G193" s="5"/>
      <c r="H193" s="5"/>
    </row>
    <row r="194" ht="14.25" customHeight="1">
      <c r="G194" s="5"/>
      <c r="H194" s="5"/>
    </row>
    <row r="195" ht="14.25" customHeight="1">
      <c r="G195" s="5"/>
      <c r="H195" s="5"/>
    </row>
    <row r="196" ht="14.25" customHeight="1"/>
    <row r="197" ht="14.25" customHeight="1"/>
    <row r="198" ht="14.25" customHeight="1"/>
    <row r="199" ht="14.25" customHeight="1">
      <c r="C199" s="5"/>
      <c r="D199" s="5"/>
      <c r="E199" s="5"/>
      <c r="F199" s="5"/>
    </row>
    <row r="200" ht="14.25" customHeight="1">
      <c r="C200" s="5"/>
      <c r="D200" s="5"/>
      <c r="E200" s="5"/>
      <c r="F200" s="5"/>
    </row>
    <row r="201" ht="14.25" customHeight="1">
      <c r="C201" s="5"/>
      <c r="D201" s="5"/>
      <c r="E201" s="5"/>
      <c r="F201" s="5"/>
    </row>
    <row r="202" ht="14.25" customHeight="1">
      <c r="C202" s="5"/>
      <c r="D202" s="5"/>
      <c r="E202" s="5"/>
      <c r="F202" s="5"/>
    </row>
    <row r="203" ht="14.25" customHeight="1">
      <c r="C203" s="5"/>
      <c r="D203" s="5"/>
      <c r="E203" s="5"/>
      <c r="F203" s="5"/>
    </row>
    <row r="204" ht="14.25" customHeight="1"/>
    <row r="205" ht="14.25" customHeight="1"/>
    <row r="206" ht="14.25" customHeight="1"/>
    <row r="207" ht="14.25" customHeight="1"/>
    <row r="208" ht="14.25" customHeight="1"/>
    <row r="209" ht="14.25" customHeight="1">
      <c r="C209" s="5"/>
      <c r="D209" s="5"/>
      <c r="E209" s="5"/>
      <c r="F209" s="5"/>
    </row>
    <row r="210" ht="14.25" customHeight="1">
      <c r="C210" s="5"/>
      <c r="D210" s="5"/>
      <c r="E210" s="5"/>
      <c r="F210" s="5"/>
    </row>
    <row r="211" ht="14.25" customHeight="1">
      <c r="C211" s="5"/>
      <c r="D211" s="5"/>
      <c r="E211" s="5"/>
      <c r="F211" s="5"/>
    </row>
    <row r="212" ht="14.25" customHeight="1">
      <c r="C212" s="5"/>
      <c r="D212" s="5"/>
      <c r="E212" s="5"/>
      <c r="F212" s="5"/>
    </row>
    <row r="213" ht="14.25" customHeight="1">
      <c r="C213" s="5"/>
      <c r="D213" s="5"/>
      <c r="E213" s="5"/>
      <c r="F213" s="5"/>
    </row>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 r:id="rId44" ref="I45"/>
    <hyperlink r:id="rId45" ref="I46"/>
    <hyperlink r:id="rId46" ref="I47"/>
    <hyperlink r:id="rId47" ref="I48"/>
    <hyperlink r:id="rId48" ref="I49"/>
    <hyperlink r:id="rId49" ref="I50"/>
    <hyperlink r:id="rId50" ref="I51"/>
    <hyperlink r:id="rId51" ref="I52"/>
    <hyperlink r:id="rId52" ref="I53"/>
    <hyperlink r:id="rId53" ref="I54"/>
    <hyperlink r:id="rId54" ref="I55"/>
    <hyperlink r:id="rId55" ref="I56"/>
    <hyperlink r:id="rId56" ref="I57"/>
    <hyperlink r:id="rId57" ref="I58"/>
    <hyperlink r:id="rId58" ref="I59"/>
    <hyperlink r:id="rId59" ref="I60"/>
    <hyperlink r:id="rId60" ref="I61"/>
    <hyperlink r:id="rId61" ref="I62"/>
    <hyperlink r:id="rId62" ref="I63"/>
    <hyperlink r:id="rId63" ref="I64"/>
    <hyperlink r:id="rId64" ref="I65"/>
    <hyperlink r:id="rId65" ref="I66"/>
    <hyperlink r:id="rId66" ref="I67"/>
    <hyperlink r:id="rId67" ref="I68"/>
    <hyperlink r:id="rId68" ref="I69"/>
    <hyperlink r:id="rId69" ref="I70"/>
    <hyperlink r:id="rId70" ref="I71"/>
    <hyperlink r:id="rId71" ref="I72"/>
    <hyperlink r:id="rId72" ref="I73"/>
    <hyperlink r:id="rId73" ref="I74"/>
    <hyperlink r:id="rId74" ref="I75"/>
    <hyperlink r:id="rId75" ref="I76"/>
    <hyperlink r:id="rId76" ref="I77"/>
    <hyperlink r:id="rId77" ref="I78"/>
    <hyperlink r:id="rId78" ref="I79"/>
    <hyperlink r:id="rId79" ref="I80"/>
    <hyperlink r:id="rId80" ref="I81"/>
    <hyperlink r:id="rId81" ref="I82"/>
    <hyperlink r:id="rId82" ref="I83"/>
    <hyperlink r:id="rId83" ref="I84"/>
    <hyperlink r:id="rId84" ref="I85"/>
    <hyperlink r:id="rId85" ref="I86"/>
    <hyperlink r:id="rId86" ref="I87"/>
    <hyperlink r:id="rId87" ref="I88"/>
    <hyperlink r:id="rId88" ref="I89"/>
    <hyperlink r:id="rId89" ref="I90"/>
    <hyperlink r:id="rId90" ref="I91"/>
    <hyperlink r:id="rId91" ref="I92"/>
    <hyperlink r:id="rId92" ref="I93"/>
    <hyperlink r:id="rId93" ref="I94"/>
    <hyperlink r:id="rId94" ref="I95"/>
    <hyperlink r:id="rId95" ref="I96"/>
    <hyperlink r:id="rId96" ref="I97"/>
    <hyperlink r:id="rId97" ref="I98"/>
    <hyperlink r:id="rId98" ref="I99"/>
    <hyperlink r:id="rId99" ref="I100"/>
    <hyperlink r:id="rId100" ref="I101"/>
    <hyperlink r:id="rId101" ref="I102"/>
    <hyperlink r:id="rId102" ref="I103"/>
    <hyperlink r:id="rId103" ref="I104"/>
    <hyperlink r:id="rId104" ref="I105"/>
    <hyperlink r:id="rId105" ref="I106"/>
    <hyperlink r:id="rId106" ref="I107"/>
    <hyperlink r:id="rId107" ref="I108"/>
    <hyperlink r:id="rId108" ref="I109"/>
    <hyperlink r:id="rId109" ref="I110"/>
    <hyperlink r:id="rId110" ref="I111"/>
    <hyperlink r:id="rId111" ref="I112"/>
    <hyperlink r:id="rId112" ref="I113"/>
    <hyperlink r:id="rId113" ref="I114"/>
    <hyperlink r:id="rId114" ref="I115"/>
    <hyperlink r:id="rId115" ref="I116"/>
    <hyperlink r:id="rId116" ref="I117"/>
    <hyperlink r:id="rId117" ref="I118"/>
    <hyperlink r:id="rId118" ref="I119"/>
    <hyperlink r:id="rId119" ref="I120"/>
    <hyperlink r:id="rId120" ref="I121"/>
    <hyperlink r:id="rId121" ref="I122"/>
    <hyperlink r:id="rId122" ref="I123"/>
    <hyperlink r:id="rId123" ref="I124"/>
    <hyperlink r:id="rId124" ref="I125"/>
    <hyperlink r:id="rId125" ref="I126"/>
    <hyperlink r:id="rId126" ref="I127"/>
    <hyperlink r:id="rId127" ref="I128"/>
    <hyperlink r:id="rId128" ref="I129"/>
    <hyperlink r:id="rId129" ref="I130"/>
    <hyperlink r:id="rId130" ref="I131"/>
    <hyperlink r:id="rId131" ref="I132"/>
    <hyperlink r:id="rId132" ref="I133"/>
    <hyperlink r:id="rId133" ref="I134"/>
    <hyperlink r:id="rId134" ref="I135"/>
    <hyperlink r:id="rId135" ref="I136"/>
    <hyperlink r:id="rId136" ref="I137"/>
    <hyperlink r:id="rId137" ref="I138"/>
    <hyperlink r:id="rId138" ref="I139"/>
    <hyperlink r:id="rId139" ref="I140"/>
    <hyperlink r:id="rId140" ref="I141"/>
    <hyperlink r:id="rId141" ref="I142"/>
    <hyperlink r:id="rId142" ref="I143"/>
    <hyperlink r:id="rId143" ref="I144"/>
    <hyperlink r:id="rId144" ref="I145"/>
    <hyperlink r:id="rId145" ref="I146"/>
    <hyperlink r:id="rId146" ref="I147"/>
    <hyperlink r:id="rId147" ref="I148"/>
    <hyperlink r:id="rId148" ref="I149"/>
    <hyperlink r:id="rId149" ref="I150"/>
    <hyperlink r:id="rId150" ref="I151"/>
    <hyperlink r:id="rId151" ref="I152"/>
    <hyperlink r:id="rId152" ref="I153"/>
    <hyperlink r:id="rId153" ref="I154"/>
    <hyperlink r:id="rId154" ref="I155"/>
    <hyperlink r:id="rId155" ref="I156"/>
    <hyperlink r:id="rId156" ref="I157"/>
    <hyperlink r:id="rId157" ref="I158"/>
    <hyperlink r:id="rId158" ref="I159"/>
    <hyperlink r:id="rId159" ref="I160"/>
    <hyperlink r:id="rId160" ref="I161"/>
    <hyperlink r:id="rId161" ref="I162"/>
    <hyperlink r:id="rId162" ref="I163"/>
    <hyperlink r:id="rId163" ref="I164"/>
    <hyperlink r:id="rId164" ref="I165"/>
    <hyperlink r:id="rId165" ref="I166"/>
    <hyperlink r:id="rId166" ref="I167"/>
    <hyperlink r:id="rId167" ref="I168"/>
    <hyperlink r:id="rId168" ref="I169"/>
  </hyperlinks>
  <printOptions/>
  <pageMargins bottom="0.75" footer="0.0" header="0.0" left="0.7" right="0.7" top="0.75"/>
  <pageSetup orientation="landscape"/>
  <drawing r:id="rId169"/>
</worksheet>
</file>